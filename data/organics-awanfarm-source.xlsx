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Dashboard" sheetId="1" r:id="rId5"/>
    <sheet state="visible" name="Monthly Subscriptions" sheetId="2" r:id="rId6"/>
    <sheet state="visible" name="Weekly Subscriptions" sheetId="3" r:id="rId7"/>
    <sheet state="visible" name="Expense Tracker" sheetId="4" r:id="rId8"/>
    <sheet state="visible" name="Sheet1" sheetId="5" r:id="rId9"/>
  </sheets>
  <definedNames/>
  <calcPr/>
</workbook>
</file>

<file path=xl/sharedStrings.xml><?xml version="1.0" encoding="utf-8"?>
<sst xmlns="http://schemas.openxmlformats.org/spreadsheetml/2006/main" count="253" uniqueCount="152">
  <si>
    <t>ORGANICS BY AWANFARM — MANAGEMENT DASHBOARD</t>
  </si>
  <si>
    <t>All figures are automatically calculated from the Monthly Subscriptions, Weekly Subscriptions, and Expense Tracker sheets.</t>
  </si>
  <si>
    <t>SELECT MONTH FOR FILTERED VIEW:</t>
  </si>
  <si>
    <t>May</t>
  </si>
  <si>
    <t>← Change this cell to filter KPIs by month</t>
  </si>
  <si>
    <t>OVERALL BUSINESS SUMMARY (All Months Combined)</t>
  </si>
  <si>
    <t>Total Monthly
Subscription Income</t>
  </si>
  <si>
    <t xml:space="preserve"> Total Weekly
Subscription Income</t>
  </si>
  <si>
    <t>Total Combined
Income</t>
  </si>
  <si>
    <t xml:space="preserve"> Total
Expenses</t>
  </si>
  <si>
    <t>Total Payment
Received</t>
  </si>
  <si>
    <t xml:space="preserve"> Total Pending
Payments</t>
  </si>
  <si>
    <t xml:space="preserve"> Net Profit
(Income − Expenses)</t>
  </si>
  <si>
    <t xml:space="preserve"> Total Active
Customers</t>
  </si>
  <si>
    <t>PKR</t>
  </si>
  <si>
    <t>customers</t>
  </si>
  <si>
    <t>FILTERED SUMMARY — Month: (see D4 selector above)</t>
  </si>
  <si>
    <t>Monthly Subs
Income (Selected Mo.)</t>
  </si>
  <si>
    <t>Weekly Subs
Income (Selected Mo.)</t>
  </si>
  <si>
    <t>Total Income
(Selected Month)</t>
  </si>
  <si>
    <t>Expenses
(Selected Month)</t>
  </si>
  <si>
    <t>Payment Received
(Selected Month)</t>
  </si>
  <si>
    <t>Pending Amount
(Selected Month)</t>
  </si>
  <si>
    <t>Net Profit
(Selected Month)</t>
  </si>
  <si>
    <t>Active Customers
(Selected Month)</t>
  </si>
  <si>
    <t xml:space="preserve"> MONTH-BY-MONTH PERFORMANCE BREAKDOWN</t>
  </si>
  <si>
    <t>Month</t>
  </si>
  <si>
    <t>Monthly Sub
Income (PKR)</t>
  </si>
  <si>
    <t>Weekly Sub
Income (PKR)</t>
  </si>
  <si>
    <t>Total Income
(PKR)</t>
  </si>
  <si>
    <t>Total Expenses
(PKR)</t>
  </si>
  <si>
    <t>Net Profit
(PKR)</t>
  </si>
  <si>
    <t>Pending
Payments (PKR)</t>
  </si>
  <si>
    <t>Customers
(Count)</t>
  </si>
  <si>
    <t>January</t>
  </si>
  <si>
    <t>February</t>
  </si>
  <si>
    <t>March</t>
  </si>
  <si>
    <t>April</t>
  </si>
  <si>
    <t>June</t>
  </si>
  <si>
    <t>July</t>
  </si>
  <si>
    <t>August</t>
  </si>
  <si>
    <t>September</t>
  </si>
  <si>
    <t>October</t>
  </si>
  <si>
    <t>November</t>
  </si>
  <si>
    <t>December</t>
  </si>
  <si>
    <t>FULL YEAR TOTAL</t>
  </si>
  <si>
    <t>📌  HOW TO USE THIS WORKBOOK</t>
  </si>
  <si>
    <t>1.  MONTHLY SUBSCRIPTIONS tab → Add customer name, set Month, enter daily Qty &amp; Rate. Cost and Status are auto-calculated.</t>
  </si>
  <si>
    <t>2.  WEEKLY SUBSCRIPTIONS tab → Enter Month, delivery days (text), Qty/delivery, Rate, and deliveries per week. Monthly total is auto-calculated.</t>
  </si>
  <si>
    <t>3.  EXPENSE TRACKER tab → Log each expense with Date, Month, Type &amp; Amount. Monthly and category summaries update automatically.</t>
  </si>
  <si>
    <t>4.  DASHBOARD → Change cell D4 (Month Selector) to see filtered KPIs for any specific month.</t>
  </si>
  <si>
    <t>5.  ADDING CUSTOMERS → Simply type in the next empty row. All formulas in formula columns auto-extend when rows are filled.</t>
  </si>
  <si>
    <t>6.  PAYMENT TRACKING → Enter 'Payment Received' amount; Pending Amount and Status update automatically. Green=Paid, Yellow=Partial, Red=Unpaid.</t>
  </si>
  <si>
    <t>7.  MONTH-END ARCHIVE → Save a copy each month (e.g. 'Milk_April_2026.xlsx') and clear next month's payment columns for fresh tracking.</t>
  </si>
  <si>
    <t>MONTHLY SUBSCRIPTION LEDGER — Daily Delivery Customers</t>
  </si>
  <si>
    <t>Customers who receive milk daily and pay monthly. Filter by Month column. Blue cells = enter data. Black cells = auto-calculated.</t>
  </si>
  <si>
    <t>🔵 Enter Data</t>
  </si>
  <si>
    <t>⬛ Auto Calc</t>
  </si>
  <si>
    <t>🟢 Paid</t>
  </si>
  <si>
    <t>🔴 Unpaid</t>
  </si>
  <si>
    <t>#</t>
  </si>
  <si>
    <t>Customer Name / House No</t>
  </si>
  <si>
    <t>Daily Qty
(Ltrs/Btls)</t>
  </si>
  <si>
    <t>Rate
(PKR/Unit)</t>
  </si>
  <si>
    <t>Days in
Month</t>
  </si>
  <si>
    <t>Total Monthly
Milk (Units)</t>
  </si>
  <si>
    <t>Total Monthly
Cost (PKR)</t>
  </si>
  <si>
    <t>Payment
Received (PKR)</t>
  </si>
  <si>
    <t>Pending
Amount (PKR)</t>
  </si>
  <si>
    <t>Payment Status</t>
  </si>
  <si>
    <t>Notes</t>
  </si>
  <si>
    <t>69 E Model Town</t>
  </si>
  <si>
    <t>Paid</t>
  </si>
  <si>
    <t>TOTALS</t>
  </si>
  <si>
    <t xml:space="preserve">WEEKLY SUBSCRIPTION LEDGER </t>
  </si>
  <si>
    <t>Customers receiving milk 2–3 times/week. Enter delivery days (e.g. Mon,Wed,Fri). System auto-calculates total monthly deliveries and cost.</t>
  </si>
  <si>
    <t>🟡 Partial</t>
  </si>
  <si>
    <t>Address (Optional)</t>
  </si>
  <si>
    <t>Delivery Days
(e.g. Mon,Wed,Fri)</t>
  </si>
  <si>
    <t>Qty per
Delivery</t>
  </si>
  <si>
    <t>Rate per
Delivery (PKR)</t>
  </si>
  <si>
    <t>Deliveries
per Week</t>
  </si>
  <si>
    <t>Total Monthly
Deliveries</t>
  </si>
  <si>
    <t>State Life</t>
  </si>
  <si>
    <t>Saturday</t>
  </si>
  <si>
    <t>47L Model Town</t>
  </si>
  <si>
    <t>Mon to Fri</t>
  </si>
  <si>
    <t>Iqbal Town 654 Kashmir Block</t>
  </si>
  <si>
    <t>Dental Medical Collage</t>
  </si>
  <si>
    <t>G2 Calvary Groung</t>
  </si>
  <si>
    <t>33 D Model Town</t>
  </si>
  <si>
    <t xml:space="preserve">Bahria Sector B </t>
  </si>
  <si>
    <t xml:space="preserve">  DAILY EXPENSE TRACKER — Month-wise Expense Log</t>
  </si>
  <si>
    <t>Log every business expense here. Select Month and Expense Type from dropdowns. Monthly totals are shown at the bottom and in the Dashboard.</t>
  </si>
  <si>
    <t>Date</t>
  </si>
  <si>
    <t>Expense Type</t>
  </si>
  <si>
    <t>Description / Notes</t>
  </si>
  <si>
    <t>Amount (PKR)</t>
  </si>
  <si>
    <t>Receipt #</t>
  </si>
  <si>
    <t>Fuel / Transport</t>
  </si>
  <si>
    <t>Milk Purchase</t>
  </si>
  <si>
    <t>Miscellaneous</t>
  </si>
  <si>
    <t>PETROL 500, Rider 330, Gaon sy anay wala rider 380 Total 1220</t>
  </si>
  <si>
    <t>Use by ali</t>
  </si>
  <si>
    <t>Packaging &amp; Bottles</t>
  </si>
  <si>
    <t>purchase bottles</t>
  </si>
  <si>
    <t>17 may 500 petrol harbanspura and model town</t>
  </si>
  <si>
    <t>model town gulberg aur gaon</t>
  </si>
  <si>
    <t>RIDER KO 440, Model Town,Calvary,Johar Town,Bahria PETROL jo mery pas ty un say use kia</t>
  </si>
  <si>
    <t>Baba sy liyay</t>
  </si>
  <si>
    <t>rider400 aur model town 300 aur bahria 500</t>
  </si>
  <si>
    <t>📊  MONTHLY EXPENSE SUMMARY (Auto-Calculated)</t>
  </si>
  <si>
    <t>Total Expenses (PKR)</t>
  </si>
  <si>
    <t>Expense Category Breakdown →</t>
  </si>
  <si>
    <t>📊  EXPENSE CATEGORY SUMMARY (All Months)</t>
  </si>
  <si>
    <t>Total (PKR)</t>
  </si>
  <si>
    <t>Labor / Wages</t>
  </si>
  <si>
    <t>Maintenance &amp; Repair</t>
  </si>
  <si>
    <t>Utilities</t>
  </si>
  <si>
    <t>Marketing</t>
  </si>
  <si>
    <t>GRAND TOTAL</t>
  </si>
  <si>
    <t>House No</t>
  </si>
  <si>
    <t>Price</t>
  </si>
  <si>
    <t>Quantity</t>
  </si>
  <si>
    <t>G2 house Cantt</t>
  </si>
  <si>
    <t>1L</t>
  </si>
  <si>
    <t>petrol 430</t>
  </si>
  <si>
    <t>Bahria</t>
  </si>
  <si>
    <t>Izmir town</t>
  </si>
  <si>
    <t>1 L</t>
  </si>
  <si>
    <t>petrol 850</t>
  </si>
  <si>
    <t>Askari 11</t>
  </si>
  <si>
    <t>2 L</t>
  </si>
  <si>
    <t>Bahria Sector D</t>
  </si>
  <si>
    <t>petrol 500</t>
  </si>
  <si>
    <t>Bahria Sector B</t>
  </si>
  <si>
    <t>6 L</t>
  </si>
  <si>
    <t>2000 bottles, 330 rider jo dood laya, 320 Ama wala rider, 150 ali wala rider, 500 petrol, aglay din ama wala rider 350, aur 18 may ama wala rider 250 phir 19 may ama wala rider 256</t>
  </si>
  <si>
    <t>52 E Model Town</t>
  </si>
  <si>
    <t>Phase 5</t>
  </si>
  <si>
    <t>2L</t>
  </si>
  <si>
    <t>500 use by Ali</t>
  </si>
  <si>
    <t>33 D model town</t>
  </si>
  <si>
    <t>Yah ali ky pas hi haan</t>
  </si>
  <si>
    <t>Gulberg</t>
  </si>
  <si>
    <t xml:space="preserve"> Ali ky pas add 1000 in expense</t>
  </si>
  <si>
    <t>Model Town R block</t>
  </si>
  <si>
    <t>Ali ky pas</t>
  </si>
  <si>
    <t>4L</t>
  </si>
  <si>
    <t>91 h3 johar town</t>
  </si>
  <si>
    <t>IN EXPENSE</t>
  </si>
  <si>
    <t>250 PETROL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</si>
</sst>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d\-mmm\-yy"/>
    <numFmt numFmtId="166" formatCode="d mmmm"/>
  </numFmts>
  <fonts count="27">
    <font>
      <sz val="11.0"/>
      <color theme="1"/>
      <name val="Calibri"/>
      <scheme val="minor"/>
    </font>
    <font>
      <b/>
      <sz val="18.0"/>
      <color rgb="FFFFFFFF"/>
      <name val="Arial"/>
    </font>
    <font/>
    <font>
      <i/>
      <sz val="9.0"/>
      <color rgb="FF444444"/>
      <name val="Arial"/>
    </font>
    <font>
      <b/>
      <sz val="10.0"/>
      <color rgb="FF1A3C5E"/>
      <name val="Arial"/>
    </font>
    <font>
      <b/>
      <sz val="12.0"/>
      <color rgb="FF1A3C5E"/>
      <name val="Arial"/>
    </font>
    <font>
      <i/>
      <sz val="9.0"/>
      <color rgb="FF888888"/>
      <name val="Arial"/>
    </font>
    <font>
      <b/>
      <sz val="11.0"/>
      <color rgb="FFFFFFFF"/>
      <name val="Arial"/>
    </font>
    <font>
      <b/>
      <sz val="9.0"/>
      <color rgb="FFFFFFFF"/>
      <name val="Arial"/>
    </font>
    <font>
      <b/>
      <sz val="15.0"/>
      <color rgb="FF1A3C5E"/>
      <name val="Arial"/>
    </font>
    <font>
      <b/>
      <sz val="15.0"/>
      <color rgb="FF1F7A6E"/>
      <name val="Arial"/>
    </font>
    <font>
      <b/>
      <sz val="15.0"/>
      <color rgb="FF1A6B3C"/>
      <name val="Arial"/>
    </font>
    <font>
      <b/>
      <sz val="15.0"/>
      <color rgb="FFC0392B"/>
      <name val="Arial"/>
    </font>
    <font>
      <b/>
      <sz val="15.0"/>
      <color rgb="FF2E6DA4"/>
      <name val="Arial"/>
    </font>
    <font>
      <b/>
      <sz val="15.0"/>
      <color rgb="FFF39C12"/>
      <name val="Arial"/>
    </font>
    <font>
      <i/>
      <sz val="8.0"/>
      <color rgb="FF888888"/>
      <name val="Arial"/>
    </font>
    <font>
      <b/>
      <sz val="9.0"/>
      <color rgb="FF1B2631"/>
      <name val="Arial"/>
    </font>
    <font>
      <sz val="9.0"/>
      <color rgb="FF1B2631"/>
      <name val="Arial"/>
    </font>
    <font>
      <sz val="11.0"/>
      <color theme="1"/>
      <name val="Calibri"/>
    </font>
    <font>
      <sz val="9.0"/>
      <color rgb="FF333333"/>
      <name val="Arial"/>
    </font>
    <font>
      <b/>
      <sz val="14.0"/>
      <color rgb="FFFFFFFF"/>
      <name val="Arial"/>
    </font>
    <font>
      <b/>
      <sz val="8.0"/>
      <color rgb="FFFFFFFF"/>
      <name val="Arial"/>
    </font>
    <font>
      <sz val="8.0"/>
      <color rgb="FF888888"/>
      <name val="Arial"/>
    </font>
    <font>
      <b/>
      <sz val="10.0"/>
      <color rgb="FFFFFFFF"/>
      <name val="Arial"/>
    </font>
    <font>
      <color theme="1"/>
      <name val="Calibri"/>
      <scheme val="minor"/>
    </font>
    <font>
      <b/>
      <sz val="9.0"/>
      <color rgb="FF2E6DA4"/>
      <name val="Arial"/>
    </font>
    <font>
      <b/>
      <sz val="9.0"/>
      <color rgb="FF1F7A6E"/>
      <name val="Arial"/>
    </font>
  </fonts>
  <fills count="19">
    <fill>
      <patternFill patternType="none"/>
    </fill>
    <fill>
      <patternFill patternType="lightGray"/>
    </fill>
    <fill>
      <patternFill patternType="solid">
        <fgColor rgb="FF1A3C5E"/>
        <bgColor rgb="FF1A3C5E"/>
      </patternFill>
    </fill>
    <fill>
      <patternFill patternType="solid">
        <fgColor rgb="FFD6EAF8"/>
        <bgColor rgb="FFD6EAF8"/>
      </patternFill>
    </fill>
    <fill>
      <patternFill patternType="solid">
        <fgColor rgb="FFFEF9E7"/>
        <bgColor rgb="FFFEF9E7"/>
      </patternFill>
    </fill>
    <fill>
      <patternFill patternType="solid">
        <fgColor rgb="FFF2F3F4"/>
        <bgColor rgb="FFF2F3F4"/>
      </patternFill>
    </fill>
    <fill>
      <patternFill patternType="solid">
        <fgColor rgb="FF2E6DA4"/>
        <bgColor rgb="FF2E6DA4"/>
      </patternFill>
    </fill>
    <fill>
      <patternFill patternType="solid">
        <fgColor rgb="FF1F7A6E"/>
        <bgColor rgb="FF1F7A6E"/>
      </patternFill>
    </fill>
    <fill>
      <patternFill patternType="solid">
        <fgColor rgb="FF1A6B3C"/>
        <bgColor rgb="FF1A6B3C"/>
      </patternFill>
    </fill>
    <fill>
      <patternFill patternType="solid">
        <fgColor rgb="FFC0392B"/>
        <bgColor rgb="FFC0392B"/>
      </patternFill>
    </fill>
    <fill>
      <patternFill patternType="solid">
        <fgColor rgb="FFF39C12"/>
        <bgColor rgb="FFF39C12"/>
      </patternFill>
    </fill>
    <fill>
      <patternFill patternType="solid">
        <fgColor rgb="FFF0F4F8"/>
        <bgColor rgb="FFF0F4F8"/>
      </patternFill>
    </fill>
    <fill>
      <patternFill patternType="solid">
        <fgColor rgb="FFEBF5FB"/>
        <bgColor rgb="FFEBF5FB"/>
      </patternFill>
    </fill>
    <fill>
      <patternFill patternType="solid">
        <fgColor rgb="FFFFFFFF"/>
        <bgColor rgb="FFFFFFFF"/>
      </patternFill>
    </fill>
    <fill>
      <patternFill patternType="solid">
        <fgColor rgb="FF1B2631"/>
        <bgColor rgb="FF1B2631"/>
      </patternFill>
    </fill>
    <fill>
      <patternFill patternType="solid">
        <fgColor rgb="FF1E8449"/>
        <bgColor rgb="FF1E8449"/>
      </patternFill>
    </fill>
    <fill>
      <patternFill patternType="solid">
        <fgColor rgb="FF922B21"/>
        <bgColor rgb="FF922B21"/>
      </patternFill>
    </fill>
    <fill>
      <patternFill patternType="solid">
        <fgColor rgb="FFD1F2EB"/>
        <bgColor rgb="FFD1F2EB"/>
      </patternFill>
    </fill>
    <fill>
      <patternFill patternType="solid">
        <fgColor rgb="FFE8F8F5"/>
        <bgColor rgb="FFE8F8F5"/>
      </patternFill>
    </fill>
  </fills>
  <borders count="14">
    <border/>
    <border>
      <left/>
      <top/>
      <bottom/>
    </border>
    <border>
      <top/>
      <bottom/>
    </border>
    <border>
      <right/>
      <top/>
      <bottom/>
    </border>
    <border>
      <left style="medium">
        <color rgb="FFF39C12"/>
      </left>
      <right style="medium">
        <color rgb="FFF39C12"/>
      </right>
      <top style="medium">
        <color rgb="FFF39C12"/>
      </top>
      <bottom style="medium">
        <color rgb="FFF39C12"/>
      </bottom>
    </border>
    <border>
      <left style="thin">
        <color rgb="FFBFBFBF"/>
      </left>
      <right style="thin">
        <color rgb="FFBFBFBF"/>
      </right>
      <top style="thin">
        <color rgb="FFBFBFBF"/>
      </top>
      <bottom style="thin">
        <color rgb="FFBFBFBF"/>
      </bottom>
    </border>
    <border>
      <left style="medium">
        <color rgb="FF1A3C5E"/>
      </left>
      <right style="medium">
        <color rgb="FF1A3C5E"/>
      </right>
      <top style="medium">
        <color rgb="FF1A3C5E"/>
      </top>
      <bottom style="medium">
        <color rgb="FF1A3C5E"/>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top style="thin">
        <color rgb="FFBFBFBF"/>
      </top>
      <bottom style="thin">
        <color rgb="FFBFBFBF"/>
      </bottom>
    </border>
    <border>
      <left style="medium">
        <color rgb="FF1A3C5E"/>
      </left>
      <top style="medium">
        <color rgb="FF1A3C5E"/>
      </top>
      <bottom style="medium">
        <color rgb="FF1A3C5E"/>
      </bottom>
    </border>
    <border>
      <top style="medium">
        <color rgb="FF1A3C5E"/>
      </top>
      <bottom style="medium">
        <color rgb="FF1A3C5E"/>
      </bottom>
    </border>
    <border>
      <right style="medium">
        <color rgb="FF1A3C5E"/>
      </right>
      <top style="medium">
        <color rgb="FF1A3C5E"/>
      </top>
      <bottom style="medium">
        <color rgb="FF1A3C5E"/>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vertical="center"/>
    </xf>
    <xf borderId="0" fillId="0" fontId="4" numFmtId="0" xfId="0" applyAlignment="1" applyFont="1">
      <alignment horizontal="right" vertical="center"/>
    </xf>
    <xf borderId="4" fillId="4" fontId="5" numFmtId="0" xfId="0" applyAlignment="1" applyBorder="1" applyFill="1" applyFont="1">
      <alignment horizontal="center" readingOrder="0" vertical="center"/>
    </xf>
    <xf borderId="1" fillId="5" fontId="6" numFmtId="0" xfId="0" applyAlignment="1" applyBorder="1" applyFill="1" applyFont="1">
      <alignment horizontal="left" vertical="center"/>
    </xf>
    <xf borderId="1" fillId="6" fontId="7" numFmtId="0" xfId="0" applyAlignment="1" applyBorder="1" applyFill="1" applyFont="1">
      <alignment horizontal="left" vertical="center"/>
    </xf>
    <xf borderId="5" fillId="2" fontId="8" numFmtId="0" xfId="0" applyAlignment="1" applyBorder="1" applyFont="1">
      <alignment horizontal="center" readingOrder="0" shrinkToFit="0" vertical="center" wrapText="1"/>
    </xf>
    <xf borderId="5" fillId="7" fontId="8" numFmtId="0" xfId="0" applyAlignment="1" applyBorder="1" applyFill="1" applyFont="1">
      <alignment horizontal="center" readingOrder="0" shrinkToFit="0" vertical="center" wrapText="1"/>
    </xf>
    <xf borderId="5" fillId="8" fontId="8" numFmtId="0" xfId="0" applyAlignment="1" applyBorder="1" applyFill="1" applyFont="1">
      <alignment horizontal="center" readingOrder="0" shrinkToFit="0" vertical="center" wrapText="1"/>
    </xf>
    <xf borderId="5" fillId="9" fontId="8" numFmtId="0" xfId="0" applyAlignment="1" applyBorder="1" applyFill="1" applyFont="1">
      <alignment horizontal="center" readingOrder="0" shrinkToFit="0" vertical="center" wrapText="1"/>
    </xf>
    <xf borderId="5" fillId="6" fontId="8" numFmtId="0" xfId="0" applyAlignment="1" applyBorder="1" applyFont="1">
      <alignment horizontal="center" readingOrder="0" shrinkToFit="0" vertical="center" wrapText="1"/>
    </xf>
    <xf borderId="5" fillId="10" fontId="8" numFmtId="0" xfId="0" applyAlignment="1" applyBorder="1" applyFill="1" applyFont="1">
      <alignment horizontal="center" readingOrder="0" shrinkToFit="0" vertical="center" wrapText="1"/>
    </xf>
    <xf borderId="5" fillId="11" fontId="9" numFmtId="3" xfId="0" applyAlignment="1" applyBorder="1" applyFill="1" applyFont="1" applyNumberFormat="1">
      <alignment horizontal="center" vertical="center"/>
    </xf>
    <xf borderId="5" fillId="11" fontId="10" numFmtId="3" xfId="0" applyAlignment="1" applyBorder="1" applyFont="1" applyNumberFormat="1">
      <alignment horizontal="center" vertical="center"/>
    </xf>
    <xf borderId="5" fillId="11" fontId="11" numFmtId="3" xfId="0" applyAlignment="1" applyBorder="1" applyFont="1" applyNumberFormat="1">
      <alignment horizontal="center" vertical="center"/>
    </xf>
    <xf borderId="5" fillId="11" fontId="12" numFmtId="3" xfId="0" applyAlignment="1" applyBorder="1" applyFont="1" applyNumberFormat="1">
      <alignment horizontal="center" vertical="center"/>
    </xf>
    <xf borderId="5" fillId="11" fontId="13" numFmtId="3" xfId="0" applyAlignment="1" applyBorder="1" applyFont="1" applyNumberFormat="1">
      <alignment horizontal="center" vertical="center"/>
    </xf>
    <xf borderId="5" fillId="11" fontId="14" numFmtId="3" xfId="0" applyAlignment="1" applyBorder="1" applyFont="1" applyNumberFormat="1">
      <alignment horizontal="center" vertical="center"/>
    </xf>
    <xf borderId="5" fillId="11" fontId="15" numFmtId="0" xfId="0" applyAlignment="1" applyBorder="1" applyFont="1">
      <alignment horizontal="center" vertical="center"/>
    </xf>
    <xf borderId="1" fillId="7" fontId="7" numFmtId="0" xfId="0" applyAlignment="1" applyBorder="1" applyFont="1">
      <alignment horizontal="left" vertical="center"/>
    </xf>
    <xf borderId="5" fillId="2" fontId="8" numFmtId="0" xfId="0" applyAlignment="1" applyBorder="1" applyFont="1">
      <alignment horizontal="center" shrinkToFit="0" vertical="center" wrapText="1"/>
    </xf>
    <xf borderId="5" fillId="7" fontId="8" numFmtId="0" xfId="0" applyAlignment="1" applyBorder="1" applyFont="1">
      <alignment horizontal="center" shrinkToFit="0" vertical="center" wrapText="1"/>
    </xf>
    <xf borderId="5" fillId="8" fontId="8" numFmtId="0" xfId="0" applyAlignment="1" applyBorder="1" applyFont="1">
      <alignment horizontal="center" shrinkToFit="0" vertical="center" wrapText="1"/>
    </xf>
    <xf borderId="5" fillId="9" fontId="8" numFmtId="0" xfId="0" applyAlignment="1" applyBorder="1" applyFont="1">
      <alignment horizontal="center" shrinkToFit="0" vertical="center" wrapText="1"/>
    </xf>
    <xf borderId="5" fillId="6" fontId="8" numFmtId="0" xfId="0" applyAlignment="1" applyBorder="1" applyFont="1">
      <alignment horizontal="center" shrinkToFit="0" vertical="center" wrapText="1"/>
    </xf>
    <xf borderId="5" fillId="10" fontId="8" numFmtId="0" xfId="0" applyAlignment="1" applyBorder="1" applyFont="1">
      <alignment horizontal="center" shrinkToFit="0" vertical="center" wrapText="1"/>
    </xf>
    <xf borderId="1" fillId="2" fontId="7" numFmtId="0" xfId="0" applyAlignment="1" applyBorder="1" applyFont="1">
      <alignment horizontal="left" vertical="center"/>
    </xf>
    <xf borderId="5" fillId="12" fontId="16" numFmtId="0" xfId="0" applyAlignment="1" applyBorder="1" applyFill="1" applyFont="1">
      <alignment horizontal="center" vertical="center"/>
    </xf>
    <xf borderId="5" fillId="12" fontId="17" numFmtId="3" xfId="0" applyAlignment="1" applyBorder="1" applyFont="1" applyNumberFormat="1">
      <alignment horizontal="center" vertical="center"/>
    </xf>
    <xf borderId="5" fillId="12" fontId="16" numFmtId="3" xfId="0" applyAlignment="1" applyBorder="1" applyFont="1" applyNumberFormat="1">
      <alignment horizontal="center" vertical="center"/>
    </xf>
    <xf borderId="5" fillId="12" fontId="17" numFmtId="0" xfId="0" applyAlignment="1" applyBorder="1" applyFont="1">
      <alignment horizontal="center" vertical="center"/>
    </xf>
    <xf borderId="5" fillId="13" fontId="16" numFmtId="0" xfId="0" applyAlignment="1" applyBorder="1" applyFill="1" applyFont="1">
      <alignment horizontal="center" vertical="center"/>
    </xf>
    <xf borderId="5" fillId="13" fontId="17" numFmtId="3" xfId="0" applyAlignment="1" applyBorder="1" applyFont="1" applyNumberFormat="1">
      <alignment horizontal="center" vertical="center"/>
    </xf>
    <xf borderId="5" fillId="13" fontId="16" numFmtId="3" xfId="0" applyAlignment="1" applyBorder="1" applyFont="1" applyNumberFormat="1">
      <alignment horizontal="center" vertical="center"/>
    </xf>
    <xf borderId="5" fillId="13" fontId="17" numFmtId="0" xfId="0" applyAlignment="1" applyBorder="1" applyFont="1">
      <alignment horizontal="center" vertical="center"/>
    </xf>
    <xf borderId="6" fillId="2" fontId="8" numFmtId="0" xfId="0" applyAlignment="1" applyBorder="1" applyFont="1">
      <alignment horizontal="center" vertical="center"/>
    </xf>
    <xf borderId="6" fillId="2" fontId="8" numFmtId="3" xfId="0" applyAlignment="1" applyBorder="1" applyFont="1" applyNumberFormat="1">
      <alignment horizontal="center" vertical="center"/>
    </xf>
    <xf borderId="7" fillId="13" fontId="18" numFmtId="0" xfId="0" applyBorder="1" applyFont="1"/>
    <xf borderId="8" fillId="12" fontId="19" numFmtId="0" xfId="0" applyAlignment="1" applyBorder="1" applyFont="1">
      <alignment horizontal="left" shrinkToFit="0" vertical="center" wrapText="1"/>
    </xf>
    <xf borderId="9" fillId="0" fontId="2" numFmtId="0" xfId="0" applyBorder="1" applyFont="1"/>
    <xf borderId="10" fillId="0" fontId="2" numFmtId="0" xfId="0" applyBorder="1" applyFont="1"/>
    <xf borderId="8" fillId="13" fontId="19" numFmtId="0" xfId="0" applyAlignment="1" applyBorder="1" applyFont="1">
      <alignment horizontal="left" shrinkToFit="0" vertical="center" wrapText="1"/>
    </xf>
    <xf borderId="1" fillId="2" fontId="20" numFmtId="0" xfId="0" applyAlignment="1" applyBorder="1" applyFont="1">
      <alignment horizontal="center" vertical="center"/>
    </xf>
    <xf borderId="1" fillId="3" fontId="3" numFmtId="0" xfId="0" applyAlignment="1" applyBorder="1" applyFont="1">
      <alignment horizontal="left" vertical="center"/>
    </xf>
    <xf borderId="5" fillId="6" fontId="21" numFmtId="0" xfId="0" applyAlignment="1" applyBorder="1" applyFont="1">
      <alignment horizontal="center" vertical="center"/>
    </xf>
    <xf borderId="5" fillId="14" fontId="21" numFmtId="0" xfId="0" applyAlignment="1" applyBorder="1" applyFill="1" applyFont="1">
      <alignment horizontal="center" vertical="center"/>
    </xf>
    <xf borderId="5" fillId="15" fontId="21" numFmtId="0" xfId="0" applyAlignment="1" applyBorder="1" applyFill="1" applyFont="1">
      <alignment horizontal="center" vertical="center"/>
    </xf>
    <xf borderId="5" fillId="16" fontId="21" numFmtId="0" xfId="0" applyAlignment="1" applyBorder="1" applyFill="1" applyFont="1">
      <alignment horizontal="center" vertical="center"/>
    </xf>
    <xf borderId="1" fillId="5" fontId="18" numFmtId="0" xfId="0" applyBorder="1" applyFont="1"/>
    <xf borderId="5" fillId="13" fontId="22" numFmtId="0" xfId="0" applyAlignment="1" applyBorder="1" applyFont="1">
      <alignment horizontal="center" vertical="center"/>
    </xf>
    <xf borderId="5" fillId="12" fontId="17" numFmtId="0" xfId="0" applyAlignment="1" applyBorder="1" applyFont="1">
      <alignment horizontal="left" readingOrder="0" vertical="center"/>
    </xf>
    <xf borderId="5" fillId="13" fontId="17" numFmtId="164" xfId="0" applyAlignment="1" applyBorder="1" applyFont="1" applyNumberFormat="1">
      <alignment horizontal="center" vertical="center"/>
    </xf>
    <xf borderId="5" fillId="12" fontId="17" numFmtId="3" xfId="0" applyAlignment="1" applyBorder="1" applyFont="1" applyNumberFormat="1">
      <alignment horizontal="left" vertical="center"/>
    </xf>
    <xf borderId="5" fillId="13" fontId="17" numFmtId="0" xfId="0" applyAlignment="1" applyBorder="1" applyFont="1">
      <alignment horizontal="center" readingOrder="0" vertical="center"/>
    </xf>
    <xf borderId="5" fillId="12" fontId="17" numFmtId="0" xfId="0" applyAlignment="1" applyBorder="1" applyFont="1">
      <alignment horizontal="left" vertical="center"/>
    </xf>
    <xf borderId="5" fillId="12" fontId="22" numFmtId="0" xfId="0" applyAlignment="1" applyBorder="1" applyFont="1">
      <alignment horizontal="center" vertical="center"/>
    </xf>
    <xf borderId="5" fillId="3" fontId="17" numFmtId="0" xfId="0" applyAlignment="1" applyBorder="1" applyFont="1">
      <alignment horizontal="left" readingOrder="0" vertical="center"/>
    </xf>
    <xf borderId="5" fillId="3" fontId="17" numFmtId="0" xfId="0" applyAlignment="1" applyBorder="1" applyFont="1">
      <alignment horizontal="left" vertical="center"/>
    </xf>
    <xf borderId="5" fillId="12" fontId="17" numFmtId="164" xfId="0" applyAlignment="1" applyBorder="1" applyFont="1" applyNumberFormat="1">
      <alignment horizontal="center" vertical="center"/>
    </xf>
    <xf borderId="5" fillId="3" fontId="17" numFmtId="3" xfId="0" applyAlignment="1" applyBorder="1" applyFont="1" applyNumberFormat="1">
      <alignment horizontal="left" vertical="center"/>
    </xf>
    <xf borderId="6" fillId="2" fontId="23" numFmtId="0" xfId="0" applyAlignment="1" applyBorder="1" applyFont="1">
      <alignment horizontal="center" vertical="center"/>
    </xf>
    <xf borderId="5" fillId="2" fontId="23" numFmtId="3" xfId="0" applyAlignment="1" applyBorder="1" applyFont="1" applyNumberFormat="1">
      <alignment horizontal="center" vertical="center"/>
    </xf>
    <xf borderId="6" fillId="6" fontId="23" numFmtId="0" xfId="0" applyAlignment="1" applyBorder="1" applyFont="1">
      <alignment horizontal="center" vertical="center"/>
    </xf>
    <xf borderId="1" fillId="7" fontId="20" numFmtId="0" xfId="0" applyAlignment="1" applyBorder="1" applyFont="1">
      <alignment horizontal="center" vertical="center"/>
    </xf>
    <xf borderId="1" fillId="17" fontId="3" numFmtId="0" xfId="0" applyAlignment="1" applyBorder="1" applyFill="1" applyFont="1">
      <alignment horizontal="left" vertical="center"/>
    </xf>
    <xf borderId="5" fillId="7" fontId="21" numFmtId="0" xfId="0" applyAlignment="1" applyBorder="1" applyFont="1">
      <alignment horizontal="center" vertical="center"/>
    </xf>
    <xf borderId="5" fillId="10" fontId="21" numFmtId="0" xfId="0" applyAlignment="1" applyBorder="1" applyFont="1">
      <alignment horizontal="center" vertical="center"/>
    </xf>
    <xf borderId="5" fillId="18" fontId="17" numFmtId="0" xfId="0" applyAlignment="1" applyBorder="1" applyFill="1" applyFont="1">
      <alignment horizontal="left" readingOrder="0" vertical="center"/>
    </xf>
    <xf borderId="5" fillId="18" fontId="17" numFmtId="0" xfId="0" applyAlignment="1" applyBorder="1" applyFont="1">
      <alignment horizontal="left" vertical="center"/>
    </xf>
    <xf borderId="5" fillId="13" fontId="17" numFmtId="3" xfId="0" applyAlignment="1" applyBorder="1" applyFont="1" applyNumberFormat="1">
      <alignment horizontal="center" readingOrder="0" vertical="center"/>
    </xf>
    <xf borderId="5" fillId="18" fontId="17" numFmtId="3" xfId="0" applyAlignment="1" applyBorder="1" applyFont="1" applyNumberFormat="1">
      <alignment horizontal="left" vertical="center"/>
    </xf>
    <xf borderId="5" fillId="17" fontId="17" numFmtId="0" xfId="0" applyAlignment="1" applyBorder="1" applyFont="1">
      <alignment horizontal="left" readingOrder="0" vertical="center"/>
    </xf>
    <xf borderId="5" fillId="17" fontId="17" numFmtId="0" xfId="0" applyAlignment="1" applyBorder="1" applyFont="1">
      <alignment horizontal="left" vertical="center"/>
    </xf>
    <xf borderId="5" fillId="17" fontId="17" numFmtId="3" xfId="0" applyAlignment="1" applyBorder="1" applyFont="1" applyNumberFormat="1">
      <alignment horizontal="left" vertical="center"/>
    </xf>
    <xf borderId="5" fillId="12" fontId="17" numFmtId="3" xfId="0" applyAlignment="1" applyBorder="1" applyFont="1" applyNumberFormat="1">
      <alignment horizontal="center" readingOrder="0" vertical="center"/>
    </xf>
    <xf borderId="11" fillId="7" fontId="23" numFmtId="0" xfId="0" applyAlignment="1" applyBorder="1" applyFont="1">
      <alignment horizontal="center" vertical="center"/>
    </xf>
    <xf borderId="12" fillId="0" fontId="2" numFmtId="0" xfId="0" applyBorder="1" applyFont="1"/>
    <xf borderId="13" fillId="0" fontId="2" numFmtId="0" xfId="0" applyBorder="1" applyFont="1"/>
    <xf borderId="5" fillId="7" fontId="23" numFmtId="3" xfId="0" applyAlignment="1" applyBorder="1" applyFont="1" applyNumberFormat="1">
      <alignment horizontal="center" vertical="center"/>
    </xf>
    <xf borderId="6" fillId="7" fontId="23" numFmtId="0" xfId="0" applyAlignment="1" applyBorder="1" applyFont="1">
      <alignment horizontal="center" vertical="center"/>
    </xf>
    <xf borderId="1" fillId="2" fontId="20" numFmtId="0" xfId="0" applyAlignment="1" applyBorder="1" applyFont="1">
      <alignment horizontal="center" readingOrder="0" vertical="center"/>
    </xf>
    <xf borderId="5" fillId="12" fontId="17" numFmtId="0" xfId="0" applyAlignment="1" applyBorder="1" applyFont="1">
      <alignment horizontal="center" readingOrder="0" vertical="center"/>
    </xf>
    <xf borderId="5" fillId="3" fontId="17" numFmtId="0" xfId="0" applyAlignment="1" applyBorder="1" applyFont="1">
      <alignment horizontal="center" readingOrder="0" vertical="center"/>
    </xf>
    <xf borderId="5" fillId="3" fontId="17" numFmtId="3" xfId="0" applyAlignment="1" applyBorder="1" applyFont="1" applyNumberFormat="1">
      <alignment horizontal="center" readingOrder="0" vertical="center"/>
    </xf>
    <xf borderId="5" fillId="12" fontId="17" numFmtId="165" xfId="0" applyAlignment="1" applyBorder="1" applyFont="1" applyNumberFormat="1">
      <alignment horizontal="center" vertical="center"/>
    </xf>
    <xf borderId="5" fillId="3" fontId="17" numFmtId="165" xfId="0" applyAlignment="1" applyBorder="1" applyFont="1" applyNumberFormat="1">
      <alignment horizontal="center" vertical="center"/>
    </xf>
    <xf borderId="0" fillId="0" fontId="24" numFmtId="0" xfId="0" applyAlignment="1" applyFont="1">
      <alignment readingOrder="0"/>
    </xf>
    <xf borderId="5" fillId="3" fontId="17" numFmtId="3" xfId="0" applyAlignment="1" applyBorder="1" applyFont="1" applyNumberFormat="1">
      <alignment horizontal="center" vertical="center"/>
    </xf>
    <xf borderId="1" fillId="2" fontId="7" numFmtId="0" xfId="0" applyAlignment="1" applyBorder="1" applyFont="1">
      <alignment horizontal="center" vertical="center"/>
    </xf>
    <xf borderId="5" fillId="6" fontId="8" numFmtId="0" xfId="0" applyAlignment="1" applyBorder="1" applyFont="1">
      <alignment horizontal="center" vertical="center"/>
    </xf>
    <xf borderId="8" fillId="6" fontId="8" numFmtId="0" xfId="0" applyAlignment="1" applyBorder="1" applyFont="1">
      <alignment horizontal="center" vertical="center"/>
    </xf>
    <xf borderId="5" fillId="12" fontId="16" numFmtId="0" xfId="0" applyBorder="1" applyFont="1"/>
    <xf borderId="5" fillId="12" fontId="25" numFmtId="3" xfId="0" applyAlignment="1" applyBorder="1" applyFont="1" applyNumberFormat="1">
      <alignment horizontal="center" vertical="center"/>
    </xf>
    <xf borderId="8" fillId="12" fontId="18" numFmtId="0" xfId="0" applyBorder="1" applyFont="1"/>
    <xf borderId="5" fillId="13" fontId="16" numFmtId="0" xfId="0" applyBorder="1" applyFont="1"/>
    <xf borderId="5" fillId="13" fontId="25" numFmtId="3" xfId="0" applyAlignment="1" applyBorder="1" applyFont="1" applyNumberFormat="1">
      <alignment horizontal="center" vertical="center"/>
    </xf>
    <xf borderId="8" fillId="13" fontId="18" numFmtId="0" xfId="0" applyBorder="1" applyFont="1"/>
    <xf borderId="1" fillId="7" fontId="7" numFmtId="0" xfId="0" applyAlignment="1" applyBorder="1" applyFont="1">
      <alignment horizontal="center" vertical="center"/>
    </xf>
    <xf borderId="5" fillId="7" fontId="8" numFmtId="0" xfId="0" applyAlignment="1" applyBorder="1" applyFont="1">
      <alignment horizontal="center" vertical="center"/>
    </xf>
    <xf borderId="1" fillId="7" fontId="18" numFmtId="0" xfId="0" applyBorder="1" applyFont="1"/>
    <xf borderId="5" fillId="12" fontId="17" numFmtId="0" xfId="0" applyBorder="1" applyFont="1"/>
    <xf borderId="5" fillId="12" fontId="26" numFmtId="3" xfId="0" applyAlignment="1" applyBorder="1" applyFont="1" applyNumberFormat="1">
      <alignment horizontal="center" vertical="center"/>
    </xf>
    <xf borderId="1" fillId="12" fontId="18" numFmtId="0" xfId="0" applyBorder="1" applyFont="1"/>
    <xf borderId="5" fillId="13" fontId="17" numFmtId="0" xfId="0" applyBorder="1" applyFont="1"/>
    <xf borderId="5" fillId="13" fontId="26" numFmtId="3" xfId="0" applyAlignment="1" applyBorder="1" applyFont="1" applyNumberFormat="1">
      <alignment horizontal="center" vertical="center"/>
    </xf>
    <xf borderId="1" fillId="13" fontId="18" numFmtId="0" xfId="0" applyBorder="1" applyFont="1"/>
    <xf borderId="5" fillId="2" fontId="23" numFmtId="0" xfId="0" applyAlignment="1" applyBorder="1" applyFont="1">
      <alignment horizontal="center" vertical="center"/>
    </xf>
    <xf borderId="0" fillId="0" fontId="24" numFmtId="166" xfId="0" applyAlignment="1" applyFont="1" applyNumberFormat="1">
      <alignment readingOrder="0"/>
    </xf>
  </cellXfs>
  <cellStyles count="1">
    <cellStyle xfId="0" name="Normal" builtinId="0"/>
  </cellStyles>
  <dxfs count="3">
    <dxf>
      <font>
        <b/>
        <color rgb="FF1E8449"/>
      </font>
      <fill>
        <patternFill patternType="solid">
          <fgColor rgb="FFD5F5E3"/>
          <bgColor rgb="FFD5F5E3"/>
        </patternFill>
      </fill>
      <border/>
    </dxf>
    <dxf>
      <font>
        <b/>
        <color rgb="FF922B21"/>
      </font>
      <fill>
        <patternFill patternType="solid">
          <fgColor rgb="FFFADBD8"/>
          <bgColor rgb="FFFADBD8"/>
        </patternFill>
      </fill>
      <border/>
    </dxf>
    <dxf>
      <font>
        <b/>
        <color rgb="FF784212"/>
      </font>
      <fill>
        <patternFill patternType="solid">
          <fgColor rgb="FFFEF9E7"/>
          <bgColor rgb="FFFEF9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3C5E"/>
    <pageSetUpPr/>
  </sheetPr>
  <sheetViews>
    <sheetView showGridLines="0" workbookViewId="0"/>
  </sheetViews>
  <sheetFormatPr customHeight="1" defaultColWidth="14.43" defaultRowHeight="15.0"/>
  <cols>
    <col customWidth="1" min="1" max="1" width="3.0"/>
    <col customWidth="1" min="2" max="2" width="22.0"/>
    <col customWidth="1" min="3" max="9" width="18.0"/>
    <col customWidth="1" min="10" max="26" width="8.71"/>
  </cols>
  <sheetData>
    <row r="1" ht="43.5" customHeight="1">
      <c r="B1" s="1" t="s">
        <v>0</v>
      </c>
      <c r="C1" s="2"/>
      <c r="D1" s="2"/>
      <c r="E1" s="2"/>
      <c r="F1" s="2"/>
      <c r="G1" s="2"/>
      <c r="H1" s="2"/>
      <c r="I1" s="3"/>
    </row>
    <row r="2" ht="15.75" customHeight="1">
      <c r="B2" s="4" t="s">
        <v>1</v>
      </c>
      <c r="C2" s="2"/>
      <c r="D2" s="2"/>
      <c r="E2" s="2"/>
      <c r="F2" s="2"/>
      <c r="G2" s="2"/>
      <c r="H2" s="2"/>
      <c r="I2" s="3"/>
    </row>
    <row r="3" ht="7.5" customHeight="1"/>
    <row r="4" ht="27.75" customHeight="1">
      <c r="B4" s="5" t="s">
        <v>2</v>
      </c>
      <c r="D4" s="6" t="s">
        <v>3</v>
      </c>
      <c r="E4" s="7" t="s">
        <v>4</v>
      </c>
      <c r="F4" s="2"/>
      <c r="G4" s="2"/>
      <c r="H4" s="2"/>
      <c r="I4" s="3"/>
    </row>
    <row r="5" ht="7.5" customHeight="1"/>
    <row r="6" ht="24.0" customHeight="1">
      <c r="B6" s="8" t="s">
        <v>5</v>
      </c>
      <c r="C6" s="2"/>
      <c r="D6" s="2"/>
      <c r="E6" s="2"/>
      <c r="F6" s="2"/>
      <c r="G6" s="2"/>
      <c r="H6" s="2"/>
      <c r="I6" s="3"/>
    </row>
    <row r="7" ht="30.0" customHeight="1">
      <c r="B7" s="9" t="s">
        <v>6</v>
      </c>
      <c r="C7" s="10" t="s">
        <v>7</v>
      </c>
      <c r="D7" s="11" t="s">
        <v>8</v>
      </c>
      <c r="E7" s="12" t="s">
        <v>9</v>
      </c>
      <c r="F7" s="13" t="s">
        <v>10</v>
      </c>
      <c r="G7" s="14" t="s">
        <v>11</v>
      </c>
      <c r="H7" s="11" t="s">
        <v>12</v>
      </c>
      <c r="I7" s="9" t="s">
        <v>13</v>
      </c>
    </row>
    <row r="8" ht="33.75" customHeight="1">
      <c r="B8" s="15">
        <f>'Monthly Subscriptions'!H55</f>
        <v>40920</v>
      </c>
      <c r="C8" s="16">
        <f>'Weekly Subscriptions'!J55</f>
        <v>56440</v>
      </c>
      <c r="D8" s="17">
        <f>'Monthly Subscriptions'!H55+'Weekly Subscriptions'!J55</f>
        <v>97360</v>
      </c>
      <c r="E8" s="18">
        <f>SUM('Expense Tracker'!F5:F84)</f>
        <v>14770</v>
      </c>
      <c r="F8" s="19">
        <f>'Monthly Subscriptions'!I55+'Weekly Subscriptions'!K55</f>
        <v>0</v>
      </c>
      <c r="G8" s="20">
        <f>'Monthly Subscriptions'!J55+'Weekly Subscriptions'!L55</f>
        <v>97360</v>
      </c>
      <c r="H8" s="17">
        <f>'Monthly Subscriptions'!H55+'Weekly Subscriptions'!J55-SUM('Expense Tracker'!F5:F84)</f>
        <v>82590</v>
      </c>
      <c r="I8" s="15">
        <f>COUNTA('Monthly Subscriptions'!C5:C54)+COUNTA('Weekly Subscriptions'!C5:C54)</f>
        <v>8</v>
      </c>
    </row>
    <row r="9" ht="15.75" customHeight="1">
      <c r="B9" s="21" t="s">
        <v>14</v>
      </c>
      <c r="C9" s="21" t="s">
        <v>14</v>
      </c>
      <c r="D9" s="21" t="s">
        <v>14</v>
      </c>
      <c r="E9" s="21" t="s">
        <v>14</v>
      </c>
      <c r="F9" s="21" t="s">
        <v>14</v>
      </c>
      <c r="G9" s="21" t="s">
        <v>14</v>
      </c>
      <c r="H9" s="21" t="s">
        <v>14</v>
      </c>
      <c r="I9" s="21" t="s">
        <v>15</v>
      </c>
    </row>
    <row r="10" ht="7.5" customHeight="1"/>
    <row r="11" ht="24.0" customHeight="1">
      <c r="B11" s="22" t="s">
        <v>16</v>
      </c>
      <c r="C11" s="2"/>
      <c r="D11" s="2"/>
      <c r="E11" s="2"/>
      <c r="F11" s="2"/>
      <c r="G11" s="2"/>
      <c r="H11" s="2"/>
      <c r="I11" s="3"/>
    </row>
    <row r="12" ht="30.0" customHeight="1">
      <c r="B12" s="23" t="s">
        <v>17</v>
      </c>
      <c r="C12" s="24" t="s">
        <v>18</v>
      </c>
      <c r="D12" s="25" t="s">
        <v>19</v>
      </c>
      <c r="E12" s="26" t="s">
        <v>20</v>
      </c>
      <c r="F12" s="27" t="s">
        <v>21</v>
      </c>
      <c r="G12" s="28" t="s">
        <v>22</v>
      </c>
      <c r="H12" s="25" t="s">
        <v>23</v>
      </c>
      <c r="I12" s="23" t="s">
        <v>24</v>
      </c>
    </row>
    <row r="13" ht="33.75" customHeight="1">
      <c r="B13" s="15">
        <f>SUMIF('Monthly Subscriptions'!B5:B54,D4,'Monthly Subscriptions'!H5:H54)</f>
        <v>40920</v>
      </c>
      <c r="C13" s="16">
        <f>SUMIF('Weekly Subscriptions'!B5:B54,D4,'Weekly Subscriptions'!J5:J54)</f>
        <v>56440</v>
      </c>
      <c r="D13" s="17">
        <f>SUMIF('Monthly Subscriptions'!B5:B54,D4,'Monthly Subscriptions'!H5:H54)+SUMIF('Weekly Subscriptions'!B5:B54,D4,'Weekly Subscriptions'!J5:J54)</f>
        <v>97360</v>
      </c>
      <c r="E13" s="18">
        <f>SUMIF('Expense Tracker'!B5:B84,D4,'Expense Tracker'!F5:F84)</f>
        <v>13770</v>
      </c>
      <c r="F13" s="19">
        <f>SUMIF('Monthly Subscriptions'!B5:B54,D4,'Monthly Subscriptions'!I5:I54)+SUMIF('Weekly Subscriptions'!B5:B54,D4,'Weekly Subscriptions'!K5:K54)</f>
        <v>0</v>
      </c>
      <c r="G13" s="20">
        <f>SUMIF('Monthly Subscriptions'!B5:B54,D4,'Monthly Subscriptions'!J5:J54)+SUMIF('Weekly Subscriptions'!B5:B54,D4,'Weekly Subscriptions'!L5:L54)</f>
        <v>97360</v>
      </c>
      <c r="H13" s="17">
        <f>SUMIF('Monthly Subscriptions'!B5:B54,D4,'Monthly Subscriptions'!H5:H54)+SUMIF('Weekly Subscriptions'!B5:B54,D4,'Weekly Subscriptions'!J5:J54)-SUMIF('Expense Tracker'!B5:B84,D4,'Expense Tracker'!F5:F84)</f>
        <v>83590</v>
      </c>
      <c r="I13" s="15">
        <f>COUNTIF('Monthly Subscriptions'!B5:B54,D4)+COUNTIF('Weekly Subscriptions'!B5:B54,D4)</f>
        <v>9</v>
      </c>
    </row>
    <row r="14" ht="15.75" customHeight="1">
      <c r="B14" s="21" t="s">
        <v>14</v>
      </c>
      <c r="C14" s="21" t="s">
        <v>14</v>
      </c>
      <c r="D14" s="21" t="s">
        <v>14</v>
      </c>
      <c r="E14" s="21" t="s">
        <v>14</v>
      </c>
      <c r="F14" s="21" t="s">
        <v>14</v>
      </c>
      <c r="G14" s="21" t="s">
        <v>14</v>
      </c>
      <c r="H14" s="21" t="s">
        <v>14</v>
      </c>
      <c r="I14" s="21" t="s">
        <v>15</v>
      </c>
    </row>
    <row r="15" ht="7.5" customHeight="1"/>
    <row r="16" ht="24.0" customHeight="1">
      <c r="B16" s="29" t="s">
        <v>25</v>
      </c>
      <c r="C16" s="2"/>
      <c r="D16" s="2"/>
      <c r="E16" s="2"/>
      <c r="F16" s="2"/>
      <c r="G16" s="2"/>
      <c r="H16" s="2"/>
      <c r="I16" s="3"/>
    </row>
    <row r="17" ht="30.0" customHeight="1">
      <c r="B17" s="27" t="s">
        <v>26</v>
      </c>
      <c r="C17" s="27" t="s">
        <v>27</v>
      </c>
      <c r="D17" s="27" t="s">
        <v>28</v>
      </c>
      <c r="E17" s="27" t="s">
        <v>29</v>
      </c>
      <c r="F17" s="27" t="s">
        <v>30</v>
      </c>
      <c r="G17" s="27" t="s">
        <v>31</v>
      </c>
      <c r="H17" s="27" t="s">
        <v>32</v>
      </c>
      <c r="I17" s="27" t="s">
        <v>33</v>
      </c>
    </row>
    <row r="18" ht="19.5" customHeight="1">
      <c r="B18" s="30" t="s">
        <v>34</v>
      </c>
      <c r="C18" s="31">
        <f>SUMIF('Monthly Subscriptions'!B5:B54,B18,'Monthly Subscriptions'!H5:H54)</f>
        <v>0</v>
      </c>
      <c r="D18" s="31">
        <f>SUMIF('Weekly Subscriptions'!B5:B54,B18,'Weekly Subscriptions'!J5:J54)</f>
        <v>0</v>
      </c>
      <c r="E18" s="32">
        <f t="shared" ref="E18:E29" si="1">C18+D18</f>
        <v>0</v>
      </c>
      <c r="F18" s="31">
        <f>SUMIF('Expense Tracker'!B5:B84,B18,'Expense Tracker'!F5:F84)</f>
        <v>0</v>
      </c>
      <c r="G18" s="32">
        <f t="shared" ref="G18:G29" si="2">E18-F18</f>
        <v>0</v>
      </c>
      <c r="H18" s="31">
        <f>SUMIF('Monthly Subscriptions'!B5:B54,B18,'Monthly Subscriptions'!J5:J54)+SUMIF('Weekly Subscriptions'!B5:B54,B18,'Weekly Subscriptions'!L5:L54)</f>
        <v>0</v>
      </c>
      <c r="I18" s="33">
        <f>COUNTIF('Monthly Subscriptions'!B5:B54,B18)+COUNTIF('Weekly Subscriptions'!B5:B54,B18)</f>
        <v>0</v>
      </c>
    </row>
    <row r="19" ht="19.5" customHeight="1">
      <c r="B19" s="34" t="s">
        <v>35</v>
      </c>
      <c r="C19" s="35">
        <f>SUMIF('Monthly Subscriptions'!B5:B54,B19,'Monthly Subscriptions'!H5:H54)</f>
        <v>0</v>
      </c>
      <c r="D19" s="35">
        <f>SUMIF('Weekly Subscriptions'!B5:B54,B19,'Weekly Subscriptions'!J5:J54)</f>
        <v>0</v>
      </c>
      <c r="E19" s="36">
        <f t="shared" si="1"/>
        <v>0</v>
      </c>
      <c r="F19" s="35">
        <f>SUMIF('Expense Tracker'!B5:B84,B19,'Expense Tracker'!F5:F84)</f>
        <v>0</v>
      </c>
      <c r="G19" s="36">
        <f t="shared" si="2"/>
        <v>0</v>
      </c>
      <c r="H19" s="35">
        <f>SUMIF('Monthly Subscriptions'!B5:B54,B19,'Monthly Subscriptions'!J5:J54)+SUMIF('Weekly Subscriptions'!B5:B54,B19,'Weekly Subscriptions'!L5:L54)</f>
        <v>0</v>
      </c>
      <c r="I19" s="37">
        <f>COUNTIF('Monthly Subscriptions'!B5:B54,B19)+COUNTIF('Weekly Subscriptions'!B5:B54,B19)</f>
        <v>0</v>
      </c>
    </row>
    <row r="20" ht="19.5" customHeight="1">
      <c r="B20" s="30" t="s">
        <v>36</v>
      </c>
      <c r="C20" s="31">
        <f>SUMIF('Monthly Subscriptions'!B5:B54,B20,'Monthly Subscriptions'!H5:H54)</f>
        <v>0</v>
      </c>
      <c r="D20" s="31">
        <f>SUMIF('Weekly Subscriptions'!B5:B54,B20,'Weekly Subscriptions'!J5:J54)</f>
        <v>0</v>
      </c>
      <c r="E20" s="32">
        <f t="shared" si="1"/>
        <v>0</v>
      </c>
      <c r="F20" s="31">
        <f>SUMIF('Expense Tracker'!B5:B84,B20,'Expense Tracker'!F5:F84)</f>
        <v>0</v>
      </c>
      <c r="G20" s="32">
        <f t="shared" si="2"/>
        <v>0</v>
      </c>
      <c r="H20" s="31">
        <f>SUMIF('Monthly Subscriptions'!B5:B54,B20,'Monthly Subscriptions'!J5:J54)+SUMIF('Weekly Subscriptions'!B5:B54,B20,'Weekly Subscriptions'!L5:L54)</f>
        <v>0</v>
      </c>
      <c r="I20" s="33">
        <f>COUNTIF('Monthly Subscriptions'!B5:B54,B20)+COUNTIF('Weekly Subscriptions'!B5:B54,B20)</f>
        <v>0</v>
      </c>
    </row>
    <row r="21" ht="19.5" customHeight="1">
      <c r="B21" s="34" t="s">
        <v>37</v>
      </c>
      <c r="C21" s="35">
        <f>SUMIF('Monthly Subscriptions'!B5:B54,B21,'Monthly Subscriptions'!H5:H54)</f>
        <v>0</v>
      </c>
      <c r="D21" s="35">
        <f>SUMIF('Weekly Subscriptions'!B5:B54,B21,'Weekly Subscriptions'!J5:J54)</f>
        <v>0</v>
      </c>
      <c r="E21" s="36">
        <f t="shared" si="1"/>
        <v>0</v>
      </c>
      <c r="F21" s="35">
        <f>SUMIF('Expense Tracker'!B5:B84,B21,'Expense Tracker'!F5:F84)</f>
        <v>0</v>
      </c>
      <c r="G21" s="36">
        <f t="shared" si="2"/>
        <v>0</v>
      </c>
      <c r="H21" s="35">
        <f>SUMIF('Monthly Subscriptions'!B5:B54,B21,'Monthly Subscriptions'!J5:J54)+SUMIF('Weekly Subscriptions'!B5:B54,B21,'Weekly Subscriptions'!L5:L54)</f>
        <v>0</v>
      </c>
      <c r="I21" s="37">
        <f>COUNTIF('Monthly Subscriptions'!B5:B54,B21)+COUNTIF('Weekly Subscriptions'!B5:B54,B21)</f>
        <v>0</v>
      </c>
    </row>
    <row r="22" ht="19.5" customHeight="1">
      <c r="B22" s="30" t="s">
        <v>3</v>
      </c>
      <c r="C22" s="31">
        <f>SUMIF('Monthly Subscriptions'!B5:B54,B22,'Monthly Subscriptions'!H5:H54)</f>
        <v>40920</v>
      </c>
      <c r="D22" s="31">
        <f>SUMIF('Weekly Subscriptions'!B5:B54,B22,'Weekly Subscriptions'!J5:J54)</f>
        <v>56440</v>
      </c>
      <c r="E22" s="32">
        <f t="shared" si="1"/>
        <v>97360</v>
      </c>
      <c r="F22" s="31">
        <f>SUMIF('Expense Tracker'!B5:B84,B22,'Expense Tracker'!F5:F84)</f>
        <v>13770</v>
      </c>
      <c r="G22" s="32">
        <f t="shared" si="2"/>
        <v>83590</v>
      </c>
      <c r="H22" s="31">
        <f>SUMIF('Monthly Subscriptions'!B5:B54,B22,'Monthly Subscriptions'!J5:J54)+SUMIF('Weekly Subscriptions'!B5:B54,B22,'Weekly Subscriptions'!L5:L54)</f>
        <v>97360</v>
      </c>
      <c r="I22" s="33">
        <f>COUNTIF('Monthly Subscriptions'!B5:B54,B22)+COUNTIF('Weekly Subscriptions'!B5:B54,B22)</f>
        <v>9</v>
      </c>
    </row>
    <row r="23" ht="19.5" customHeight="1">
      <c r="B23" s="34" t="s">
        <v>38</v>
      </c>
      <c r="C23" s="35">
        <f>SUMIF('Monthly Subscriptions'!B5:B54,B23,'Monthly Subscriptions'!H5:H54)</f>
        <v>0</v>
      </c>
      <c r="D23" s="35">
        <f>SUMIF('Weekly Subscriptions'!B5:B54,B23,'Weekly Subscriptions'!J5:J54)</f>
        <v>0</v>
      </c>
      <c r="E23" s="36">
        <f t="shared" si="1"/>
        <v>0</v>
      </c>
      <c r="F23" s="35">
        <f>SUMIF('Expense Tracker'!B5:B84,B23,'Expense Tracker'!F5:F84)</f>
        <v>0</v>
      </c>
      <c r="G23" s="36">
        <f t="shared" si="2"/>
        <v>0</v>
      </c>
      <c r="H23" s="35">
        <f>SUMIF('Monthly Subscriptions'!B5:B54,B23,'Monthly Subscriptions'!J5:J54)+SUMIF('Weekly Subscriptions'!B5:B54,B23,'Weekly Subscriptions'!L5:L54)</f>
        <v>0</v>
      </c>
      <c r="I23" s="37">
        <f>COUNTIF('Monthly Subscriptions'!B5:B54,B23)+COUNTIF('Weekly Subscriptions'!B5:B54,B23)</f>
        <v>0</v>
      </c>
    </row>
    <row r="24" ht="19.5" customHeight="1">
      <c r="B24" s="30" t="s">
        <v>39</v>
      </c>
      <c r="C24" s="31">
        <f>SUMIF('Monthly Subscriptions'!B5:B54,B24,'Monthly Subscriptions'!H5:H54)</f>
        <v>0</v>
      </c>
      <c r="D24" s="31">
        <f>SUMIF('Weekly Subscriptions'!B5:B54,B24,'Weekly Subscriptions'!J5:J54)</f>
        <v>0</v>
      </c>
      <c r="E24" s="32">
        <f t="shared" si="1"/>
        <v>0</v>
      </c>
      <c r="F24" s="31">
        <f>SUMIF('Expense Tracker'!B5:B84,B24,'Expense Tracker'!F5:F84)</f>
        <v>0</v>
      </c>
      <c r="G24" s="32">
        <f t="shared" si="2"/>
        <v>0</v>
      </c>
      <c r="H24" s="31">
        <f>SUMIF('Monthly Subscriptions'!B5:B54,B24,'Monthly Subscriptions'!J5:J54)+SUMIF('Weekly Subscriptions'!B5:B54,B24,'Weekly Subscriptions'!L5:L54)</f>
        <v>0</v>
      </c>
      <c r="I24" s="33">
        <f>COUNTIF('Monthly Subscriptions'!B5:B54,B24)+COUNTIF('Weekly Subscriptions'!B5:B54,B24)</f>
        <v>0</v>
      </c>
    </row>
    <row r="25" ht="19.5" customHeight="1">
      <c r="B25" s="34" t="s">
        <v>40</v>
      </c>
      <c r="C25" s="35">
        <f>SUMIF('Monthly Subscriptions'!B5:B54,B25,'Monthly Subscriptions'!H5:H54)</f>
        <v>0</v>
      </c>
      <c r="D25" s="35">
        <f>SUMIF('Weekly Subscriptions'!B5:B54,B25,'Weekly Subscriptions'!J5:J54)</f>
        <v>0</v>
      </c>
      <c r="E25" s="36">
        <f t="shared" si="1"/>
        <v>0</v>
      </c>
      <c r="F25" s="35">
        <f>SUMIF('Expense Tracker'!B5:B84,B25,'Expense Tracker'!F5:F84)</f>
        <v>0</v>
      </c>
      <c r="G25" s="36">
        <f t="shared" si="2"/>
        <v>0</v>
      </c>
      <c r="H25" s="35">
        <f>SUMIF('Monthly Subscriptions'!B5:B54,B25,'Monthly Subscriptions'!J5:J54)+SUMIF('Weekly Subscriptions'!B5:B54,B25,'Weekly Subscriptions'!L5:L54)</f>
        <v>0</v>
      </c>
      <c r="I25" s="37">
        <f>COUNTIF('Monthly Subscriptions'!B5:B54,B25)+COUNTIF('Weekly Subscriptions'!B5:B54,B25)</f>
        <v>0</v>
      </c>
    </row>
    <row r="26" ht="19.5" customHeight="1">
      <c r="B26" s="30" t="s">
        <v>41</v>
      </c>
      <c r="C26" s="31">
        <f>SUMIF('Monthly Subscriptions'!B5:B54,B26,'Monthly Subscriptions'!H5:H54)</f>
        <v>0</v>
      </c>
      <c r="D26" s="31">
        <f>SUMIF('Weekly Subscriptions'!B5:B54,B26,'Weekly Subscriptions'!J5:J54)</f>
        <v>0</v>
      </c>
      <c r="E26" s="32">
        <f t="shared" si="1"/>
        <v>0</v>
      </c>
      <c r="F26" s="31">
        <f>SUMIF('Expense Tracker'!B5:B84,B26,'Expense Tracker'!F5:F84)</f>
        <v>0</v>
      </c>
      <c r="G26" s="32">
        <f t="shared" si="2"/>
        <v>0</v>
      </c>
      <c r="H26" s="31">
        <f>SUMIF('Monthly Subscriptions'!B5:B54,B26,'Monthly Subscriptions'!J5:J54)+SUMIF('Weekly Subscriptions'!B5:B54,B26,'Weekly Subscriptions'!L5:L54)</f>
        <v>0</v>
      </c>
      <c r="I26" s="33">
        <f>COUNTIF('Monthly Subscriptions'!B5:B54,B26)+COUNTIF('Weekly Subscriptions'!B5:B54,B26)</f>
        <v>0</v>
      </c>
    </row>
    <row r="27" ht="19.5" customHeight="1">
      <c r="B27" s="34" t="s">
        <v>42</v>
      </c>
      <c r="C27" s="35">
        <f>SUMIF('Monthly Subscriptions'!B5:B54,B27,'Monthly Subscriptions'!H5:H54)</f>
        <v>0</v>
      </c>
      <c r="D27" s="35">
        <f>SUMIF('Weekly Subscriptions'!B5:B54,B27,'Weekly Subscriptions'!J5:J54)</f>
        <v>0</v>
      </c>
      <c r="E27" s="36">
        <f t="shared" si="1"/>
        <v>0</v>
      </c>
      <c r="F27" s="35">
        <f>SUMIF('Expense Tracker'!B5:B84,B27,'Expense Tracker'!F5:F84)</f>
        <v>0</v>
      </c>
      <c r="G27" s="36">
        <f t="shared" si="2"/>
        <v>0</v>
      </c>
      <c r="H27" s="35">
        <f>SUMIF('Monthly Subscriptions'!B5:B54,B27,'Monthly Subscriptions'!J5:J54)+SUMIF('Weekly Subscriptions'!B5:B54,B27,'Weekly Subscriptions'!L5:L54)</f>
        <v>0</v>
      </c>
      <c r="I27" s="37">
        <f>COUNTIF('Monthly Subscriptions'!B5:B54,B27)+COUNTIF('Weekly Subscriptions'!B5:B54,B27)</f>
        <v>0</v>
      </c>
    </row>
    <row r="28" ht="19.5" customHeight="1">
      <c r="B28" s="30" t="s">
        <v>43</v>
      </c>
      <c r="C28" s="31">
        <f>SUMIF('Monthly Subscriptions'!B5:B54,B28,'Monthly Subscriptions'!H5:H54)</f>
        <v>0</v>
      </c>
      <c r="D28" s="31">
        <f>SUMIF('Weekly Subscriptions'!B5:B54,B28,'Weekly Subscriptions'!J5:J54)</f>
        <v>0</v>
      </c>
      <c r="E28" s="32">
        <f t="shared" si="1"/>
        <v>0</v>
      </c>
      <c r="F28" s="31">
        <f>SUMIF('Expense Tracker'!B5:B84,B28,'Expense Tracker'!F5:F84)</f>
        <v>0</v>
      </c>
      <c r="G28" s="32">
        <f t="shared" si="2"/>
        <v>0</v>
      </c>
      <c r="H28" s="31">
        <f>SUMIF('Monthly Subscriptions'!B5:B54,B28,'Monthly Subscriptions'!J5:J54)+SUMIF('Weekly Subscriptions'!B5:B54,B28,'Weekly Subscriptions'!L5:L54)</f>
        <v>0</v>
      </c>
      <c r="I28" s="33">
        <f>COUNTIF('Monthly Subscriptions'!B5:B54,B28)+COUNTIF('Weekly Subscriptions'!B5:B54,B28)</f>
        <v>0</v>
      </c>
    </row>
    <row r="29" ht="19.5" customHeight="1">
      <c r="B29" s="34" t="s">
        <v>44</v>
      </c>
      <c r="C29" s="35">
        <f>SUMIF('Monthly Subscriptions'!B5:B54,B29,'Monthly Subscriptions'!H5:H54)</f>
        <v>0</v>
      </c>
      <c r="D29" s="35">
        <f>SUMIF('Weekly Subscriptions'!B5:B54,B29,'Weekly Subscriptions'!J5:J54)</f>
        <v>0</v>
      </c>
      <c r="E29" s="36">
        <f t="shared" si="1"/>
        <v>0</v>
      </c>
      <c r="F29" s="35">
        <f>SUMIF('Expense Tracker'!B5:B84,B29,'Expense Tracker'!F5:F84)</f>
        <v>0</v>
      </c>
      <c r="G29" s="36">
        <f t="shared" si="2"/>
        <v>0</v>
      </c>
      <c r="H29" s="35">
        <f>SUMIF('Monthly Subscriptions'!B5:B54,B29,'Monthly Subscriptions'!J5:J54)+SUMIF('Weekly Subscriptions'!B5:B54,B29,'Weekly Subscriptions'!L5:L54)</f>
        <v>0</v>
      </c>
      <c r="I29" s="37">
        <f>COUNTIF('Monthly Subscriptions'!B5:B54,B29)+COUNTIF('Weekly Subscriptions'!B5:B54,B29)</f>
        <v>0</v>
      </c>
    </row>
    <row r="30" ht="21.75" customHeight="1">
      <c r="B30" s="38" t="s">
        <v>45</v>
      </c>
      <c r="C30" s="39">
        <f t="shared" ref="C30:I30" si="3">SUM(C18:C29)</f>
        <v>40920</v>
      </c>
      <c r="D30" s="39">
        <f t="shared" si="3"/>
        <v>56440</v>
      </c>
      <c r="E30" s="39">
        <f t="shared" si="3"/>
        <v>97360</v>
      </c>
      <c r="F30" s="39">
        <f t="shared" si="3"/>
        <v>13770</v>
      </c>
      <c r="G30" s="39">
        <f t="shared" si="3"/>
        <v>83590</v>
      </c>
      <c r="H30" s="39">
        <f t="shared" si="3"/>
        <v>97360</v>
      </c>
      <c r="I30" s="39">
        <f t="shared" si="3"/>
        <v>9</v>
      </c>
    </row>
    <row r="31" ht="19.5" customHeight="1"/>
    <row r="32" ht="24.0" customHeight="1">
      <c r="A32" s="40"/>
      <c r="B32" s="29" t="s">
        <v>46</v>
      </c>
      <c r="C32" s="2"/>
      <c r="D32" s="2"/>
      <c r="E32" s="2"/>
      <c r="F32" s="2"/>
      <c r="G32" s="2"/>
      <c r="H32" s="2"/>
      <c r="I32" s="3"/>
    </row>
    <row r="33" ht="19.5" customHeight="1">
      <c r="B33" s="41" t="s">
        <v>47</v>
      </c>
      <c r="C33" s="42"/>
      <c r="D33" s="42"/>
      <c r="E33" s="42"/>
      <c r="F33" s="42"/>
      <c r="G33" s="42"/>
      <c r="H33" s="42"/>
      <c r="I33" s="43"/>
    </row>
    <row r="34" ht="19.5" customHeight="1">
      <c r="B34" s="44" t="s">
        <v>48</v>
      </c>
      <c r="C34" s="42"/>
      <c r="D34" s="42"/>
      <c r="E34" s="42"/>
      <c r="F34" s="42"/>
      <c r="G34" s="42"/>
      <c r="H34" s="42"/>
      <c r="I34" s="43"/>
    </row>
    <row r="35" ht="19.5" customHeight="1">
      <c r="B35" s="41" t="s">
        <v>49</v>
      </c>
      <c r="C35" s="42"/>
      <c r="D35" s="42"/>
      <c r="E35" s="42"/>
      <c r="F35" s="42"/>
      <c r="G35" s="42"/>
      <c r="H35" s="42"/>
      <c r="I35" s="43"/>
    </row>
    <row r="36" ht="19.5" customHeight="1">
      <c r="B36" s="44" t="s">
        <v>50</v>
      </c>
      <c r="C36" s="42"/>
      <c r="D36" s="42"/>
      <c r="E36" s="42"/>
      <c r="F36" s="42"/>
      <c r="G36" s="42"/>
      <c r="H36" s="42"/>
      <c r="I36" s="43"/>
    </row>
    <row r="37" ht="19.5" customHeight="1">
      <c r="B37" s="41" t="s">
        <v>51</v>
      </c>
      <c r="C37" s="42"/>
      <c r="D37" s="42"/>
      <c r="E37" s="42"/>
      <c r="F37" s="42"/>
      <c r="G37" s="42"/>
      <c r="H37" s="42"/>
      <c r="I37" s="43"/>
    </row>
    <row r="38" ht="19.5" customHeight="1">
      <c r="B38" s="44" t="s">
        <v>52</v>
      </c>
      <c r="C38" s="42"/>
      <c r="D38" s="42"/>
      <c r="E38" s="42"/>
      <c r="F38" s="42"/>
      <c r="G38" s="42"/>
      <c r="H38" s="42"/>
      <c r="I38" s="43"/>
    </row>
    <row r="39" ht="19.5" customHeight="1">
      <c r="B39" s="41" t="s">
        <v>53</v>
      </c>
      <c r="C39" s="42"/>
      <c r="D39" s="42"/>
      <c r="E39" s="42"/>
      <c r="F39" s="42"/>
      <c r="G39" s="42"/>
      <c r="H39" s="42"/>
      <c r="I39" s="43"/>
    </row>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32:I32"/>
    <mergeCell ref="B33:I33"/>
    <mergeCell ref="B34:I34"/>
    <mergeCell ref="B35:I35"/>
    <mergeCell ref="B36:I36"/>
    <mergeCell ref="B37:I37"/>
    <mergeCell ref="B38:I38"/>
    <mergeCell ref="B39:I39"/>
    <mergeCell ref="B1:I1"/>
    <mergeCell ref="B2:I2"/>
    <mergeCell ref="B4:C4"/>
    <mergeCell ref="E4:I4"/>
    <mergeCell ref="B6:I6"/>
    <mergeCell ref="B11:I11"/>
    <mergeCell ref="B16:I16"/>
  </mergeCells>
  <dataValidations>
    <dataValidation type="list" allowBlank="1" sqref="D4">
      <formula1>"January,February,March,April,May,June,July,August,September,October,November,December"</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DA4"/>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5.0"/>
    <col customWidth="1" min="3" max="3" width="24.0"/>
    <col customWidth="1" min="4" max="5" width="8.0"/>
    <col customWidth="1" min="6" max="6" width="10.0"/>
    <col customWidth="1" min="7" max="10" width="14.0"/>
    <col customWidth="1" min="11" max="11" width="16.0"/>
    <col customWidth="1" min="12" max="12" width="20.0"/>
    <col customWidth="1" min="13" max="26" width="8.71"/>
  </cols>
  <sheetData>
    <row r="1" ht="37.5" customHeight="1">
      <c r="A1" s="45" t="s">
        <v>54</v>
      </c>
      <c r="B1" s="2"/>
      <c r="C1" s="2"/>
      <c r="D1" s="2"/>
      <c r="E1" s="2"/>
      <c r="F1" s="2"/>
      <c r="G1" s="2"/>
      <c r="H1" s="2"/>
      <c r="I1" s="2"/>
      <c r="J1" s="2"/>
      <c r="K1" s="2"/>
      <c r="L1" s="3"/>
    </row>
    <row r="2" ht="18.0" customHeight="1">
      <c r="A2" s="46" t="s">
        <v>55</v>
      </c>
      <c r="B2" s="2"/>
      <c r="C2" s="2"/>
      <c r="D2" s="2"/>
      <c r="E2" s="2"/>
      <c r="F2" s="2"/>
      <c r="G2" s="2"/>
      <c r="H2" s="2"/>
      <c r="I2" s="2"/>
      <c r="J2" s="2"/>
      <c r="K2" s="2"/>
      <c r="L2" s="3"/>
    </row>
    <row r="3" ht="18.0" customHeight="1">
      <c r="A3" s="47" t="s">
        <v>56</v>
      </c>
      <c r="B3" s="48" t="s">
        <v>57</v>
      </c>
      <c r="C3" s="49" t="s">
        <v>58</v>
      </c>
      <c r="D3" s="50" t="s">
        <v>59</v>
      </c>
      <c r="E3" s="51"/>
      <c r="F3" s="2"/>
      <c r="G3" s="2"/>
      <c r="H3" s="2"/>
      <c r="I3" s="2"/>
      <c r="J3" s="2"/>
      <c r="K3" s="2"/>
      <c r="L3" s="3"/>
    </row>
    <row r="4" ht="31.5" customHeight="1">
      <c r="A4" s="23" t="s">
        <v>60</v>
      </c>
      <c r="B4" s="23" t="s">
        <v>26</v>
      </c>
      <c r="C4" s="23" t="s">
        <v>61</v>
      </c>
      <c r="D4" s="23" t="s">
        <v>62</v>
      </c>
      <c r="E4" s="23" t="s">
        <v>63</v>
      </c>
      <c r="F4" s="23" t="s">
        <v>64</v>
      </c>
      <c r="G4" s="23" t="s">
        <v>65</v>
      </c>
      <c r="H4" s="23" t="s">
        <v>66</v>
      </c>
      <c r="I4" s="23" t="s">
        <v>67</v>
      </c>
      <c r="J4" s="23" t="s">
        <v>68</v>
      </c>
      <c r="K4" s="23" t="s">
        <v>69</v>
      </c>
      <c r="L4" s="23" t="s">
        <v>70</v>
      </c>
    </row>
    <row r="5">
      <c r="A5" s="52">
        <v>1.0</v>
      </c>
      <c r="B5" s="53" t="s">
        <v>3</v>
      </c>
      <c r="C5" s="53" t="s">
        <v>71</v>
      </c>
      <c r="D5" s="53">
        <v>4.0</v>
      </c>
      <c r="E5" s="53">
        <v>330.0</v>
      </c>
      <c r="F5" s="37">
        <f t="shared" ref="F5:F54" si="1">IFERROR(switch(B5,"January",31,"February",28,"March",31,"April",30,"May",31,"June",30,"July",31,"August",31,"September",30,"October",31,"November",30,"December",31,30),"")</f>
        <v>31</v>
      </c>
      <c r="G5" s="54">
        <f t="shared" ref="G5:G54" si="2">IF(OR(D5="",F5=""),"",D5*F5)</f>
        <v>124</v>
      </c>
      <c r="H5" s="35">
        <f t="shared" ref="H5:H54" si="3">IF(OR(G5="",E5=""),"",G5*E5)</f>
        <v>40920</v>
      </c>
      <c r="I5" s="55"/>
      <c r="J5" s="35">
        <f t="shared" ref="J5:J54" si="4">IF(H5="","",H5-IF(I5="",0,I5))</f>
        <v>40920</v>
      </c>
      <c r="K5" s="56" t="s">
        <v>72</v>
      </c>
      <c r="L5" s="57"/>
    </row>
    <row r="6">
      <c r="A6" s="58">
        <v>2.0</v>
      </c>
      <c r="B6" s="59" t="s">
        <v>3</v>
      </c>
      <c r="C6" s="59"/>
      <c r="D6" s="60"/>
      <c r="E6" s="60"/>
      <c r="F6" s="33">
        <f t="shared" si="1"/>
        <v>31</v>
      </c>
      <c r="G6" s="61" t="str">
        <f t="shared" si="2"/>
        <v/>
      </c>
      <c r="H6" s="31" t="str">
        <f t="shared" si="3"/>
        <v/>
      </c>
      <c r="I6" s="62"/>
      <c r="J6" s="31" t="str">
        <f t="shared" si="4"/>
        <v/>
      </c>
      <c r="K6" s="33" t="str">
        <f t="shared" ref="K6:K54" si="5">IF(H6="","",IF(I6="","Unpaid",IF(I6&gt;=H6,"Paid",IF(I6&gt;0,"Partial","Unpaid"))))</f>
        <v/>
      </c>
      <c r="L6" s="60"/>
    </row>
    <row r="7">
      <c r="A7" s="52">
        <v>3.0</v>
      </c>
      <c r="B7" s="57"/>
      <c r="C7" s="57"/>
      <c r="D7" s="57"/>
      <c r="E7" s="57"/>
      <c r="F7" s="37">
        <f t="shared" si="1"/>
        <v>30</v>
      </c>
      <c r="G7" s="54" t="str">
        <f t="shared" si="2"/>
        <v/>
      </c>
      <c r="H7" s="35" t="str">
        <f t="shared" si="3"/>
        <v/>
      </c>
      <c r="I7" s="55"/>
      <c r="J7" s="35" t="str">
        <f t="shared" si="4"/>
        <v/>
      </c>
      <c r="K7" s="37" t="str">
        <f t="shared" si="5"/>
        <v/>
      </c>
      <c r="L7" s="57"/>
    </row>
    <row r="8">
      <c r="A8" s="58">
        <v>4.0</v>
      </c>
      <c r="B8" s="60"/>
      <c r="C8" s="60"/>
      <c r="D8" s="60"/>
      <c r="E8" s="60"/>
      <c r="F8" s="33">
        <f t="shared" si="1"/>
        <v>30</v>
      </c>
      <c r="G8" s="61" t="str">
        <f t="shared" si="2"/>
        <v/>
      </c>
      <c r="H8" s="31" t="str">
        <f t="shared" si="3"/>
        <v/>
      </c>
      <c r="I8" s="62"/>
      <c r="J8" s="31" t="str">
        <f t="shared" si="4"/>
        <v/>
      </c>
      <c r="K8" s="33" t="str">
        <f t="shared" si="5"/>
        <v/>
      </c>
      <c r="L8" s="60"/>
    </row>
    <row r="9">
      <c r="A9" s="52">
        <v>5.0</v>
      </c>
      <c r="B9" s="57"/>
      <c r="C9" s="57"/>
      <c r="D9" s="57"/>
      <c r="E9" s="57"/>
      <c r="F9" s="37">
        <f t="shared" si="1"/>
        <v>30</v>
      </c>
      <c r="G9" s="54" t="str">
        <f t="shared" si="2"/>
        <v/>
      </c>
      <c r="H9" s="35" t="str">
        <f t="shared" si="3"/>
        <v/>
      </c>
      <c r="I9" s="55"/>
      <c r="J9" s="35" t="str">
        <f t="shared" si="4"/>
        <v/>
      </c>
      <c r="K9" s="37" t="str">
        <f t="shared" si="5"/>
        <v/>
      </c>
      <c r="L9" s="57"/>
    </row>
    <row r="10">
      <c r="A10" s="58">
        <v>6.0</v>
      </c>
      <c r="B10" s="60"/>
      <c r="C10" s="60"/>
      <c r="D10" s="60"/>
      <c r="E10" s="60"/>
      <c r="F10" s="33">
        <f t="shared" si="1"/>
        <v>30</v>
      </c>
      <c r="G10" s="61" t="str">
        <f t="shared" si="2"/>
        <v/>
      </c>
      <c r="H10" s="31" t="str">
        <f t="shared" si="3"/>
        <v/>
      </c>
      <c r="I10" s="62"/>
      <c r="J10" s="31" t="str">
        <f t="shared" si="4"/>
        <v/>
      </c>
      <c r="K10" s="33" t="str">
        <f t="shared" si="5"/>
        <v/>
      </c>
      <c r="L10" s="60"/>
    </row>
    <row r="11">
      <c r="A11" s="52">
        <v>7.0</v>
      </c>
      <c r="B11" s="57"/>
      <c r="C11" s="57"/>
      <c r="D11" s="57"/>
      <c r="E11" s="57"/>
      <c r="F11" s="37">
        <f t="shared" si="1"/>
        <v>30</v>
      </c>
      <c r="G11" s="54" t="str">
        <f t="shared" si="2"/>
        <v/>
      </c>
      <c r="H11" s="35" t="str">
        <f t="shared" si="3"/>
        <v/>
      </c>
      <c r="I11" s="55"/>
      <c r="J11" s="35" t="str">
        <f t="shared" si="4"/>
        <v/>
      </c>
      <c r="K11" s="37" t="str">
        <f t="shared" si="5"/>
        <v/>
      </c>
      <c r="L11" s="57"/>
    </row>
    <row r="12">
      <c r="A12" s="58">
        <v>8.0</v>
      </c>
      <c r="B12" s="60"/>
      <c r="C12" s="60"/>
      <c r="D12" s="60"/>
      <c r="E12" s="60"/>
      <c r="F12" s="33">
        <f t="shared" si="1"/>
        <v>30</v>
      </c>
      <c r="G12" s="61" t="str">
        <f t="shared" si="2"/>
        <v/>
      </c>
      <c r="H12" s="31" t="str">
        <f t="shared" si="3"/>
        <v/>
      </c>
      <c r="I12" s="62"/>
      <c r="J12" s="31" t="str">
        <f t="shared" si="4"/>
        <v/>
      </c>
      <c r="K12" s="33" t="str">
        <f t="shared" si="5"/>
        <v/>
      </c>
      <c r="L12" s="60"/>
    </row>
    <row r="13">
      <c r="A13" s="52">
        <v>9.0</v>
      </c>
      <c r="B13" s="57"/>
      <c r="C13" s="57"/>
      <c r="D13" s="57"/>
      <c r="E13" s="57"/>
      <c r="F13" s="37">
        <f t="shared" si="1"/>
        <v>30</v>
      </c>
      <c r="G13" s="54" t="str">
        <f t="shared" si="2"/>
        <v/>
      </c>
      <c r="H13" s="35" t="str">
        <f t="shared" si="3"/>
        <v/>
      </c>
      <c r="I13" s="55"/>
      <c r="J13" s="35" t="str">
        <f t="shared" si="4"/>
        <v/>
      </c>
      <c r="K13" s="37" t="str">
        <f t="shared" si="5"/>
        <v/>
      </c>
      <c r="L13" s="57"/>
    </row>
    <row r="14">
      <c r="A14" s="58">
        <v>10.0</v>
      </c>
      <c r="B14" s="60"/>
      <c r="C14" s="60"/>
      <c r="D14" s="60"/>
      <c r="E14" s="60"/>
      <c r="F14" s="33">
        <f t="shared" si="1"/>
        <v>30</v>
      </c>
      <c r="G14" s="61" t="str">
        <f t="shared" si="2"/>
        <v/>
      </c>
      <c r="H14" s="31" t="str">
        <f t="shared" si="3"/>
        <v/>
      </c>
      <c r="I14" s="62"/>
      <c r="J14" s="31" t="str">
        <f t="shared" si="4"/>
        <v/>
      </c>
      <c r="K14" s="33" t="str">
        <f t="shared" si="5"/>
        <v/>
      </c>
      <c r="L14" s="60"/>
    </row>
    <row r="15">
      <c r="A15" s="52">
        <v>11.0</v>
      </c>
      <c r="B15" s="57"/>
      <c r="C15" s="57"/>
      <c r="D15" s="57"/>
      <c r="E15" s="57"/>
      <c r="F15" s="37">
        <f t="shared" si="1"/>
        <v>30</v>
      </c>
      <c r="G15" s="54" t="str">
        <f t="shared" si="2"/>
        <v/>
      </c>
      <c r="H15" s="35" t="str">
        <f t="shared" si="3"/>
        <v/>
      </c>
      <c r="I15" s="55"/>
      <c r="J15" s="35" t="str">
        <f t="shared" si="4"/>
        <v/>
      </c>
      <c r="K15" s="37" t="str">
        <f t="shared" si="5"/>
        <v/>
      </c>
      <c r="L15" s="57"/>
    </row>
    <row r="16">
      <c r="A16" s="58">
        <v>12.0</v>
      </c>
      <c r="B16" s="60"/>
      <c r="C16" s="60"/>
      <c r="D16" s="60"/>
      <c r="E16" s="60"/>
      <c r="F16" s="33">
        <f t="shared" si="1"/>
        <v>30</v>
      </c>
      <c r="G16" s="61" t="str">
        <f t="shared" si="2"/>
        <v/>
      </c>
      <c r="H16" s="31" t="str">
        <f t="shared" si="3"/>
        <v/>
      </c>
      <c r="I16" s="62"/>
      <c r="J16" s="31" t="str">
        <f t="shared" si="4"/>
        <v/>
      </c>
      <c r="K16" s="33" t="str">
        <f t="shared" si="5"/>
        <v/>
      </c>
      <c r="L16" s="60"/>
    </row>
    <row r="17">
      <c r="A17" s="52">
        <v>13.0</v>
      </c>
      <c r="B17" s="57"/>
      <c r="C17" s="57"/>
      <c r="D17" s="57"/>
      <c r="E17" s="57"/>
      <c r="F17" s="37">
        <f t="shared" si="1"/>
        <v>30</v>
      </c>
      <c r="G17" s="54" t="str">
        <f t="shared" si="2"/>
        <v/>
      </c>
      <c r="H17" s="35" t="str">
        <f t="shared" si="3"/>
        <v/>
      </c>
      <c r="I17" s="55"/>
      <c r="J17" s="35" t="str">
        <f t="shared" si="4"/>
        <v/>
      </c>
      <c r="K17" s="37" t="str">
        <f t="shared" si="5"/>
        <v/>
      </c>
      <c r="L17" s="57"/>
    </row>
    <row r="18">
      <c r="A18" s="58">
        <v>14.0</v>
      </c>
      <c r="B18" s="60"/>
      <c r="C18" s="60"/>
      <c r="D18" s="60"/>
      <c r="E18" s="60"/>
      <c r="F18" s="33">
        <f t="shared" si="1"/>
        <v>30</v>
      </c>
      <c r="G18" s="61" t="str">
        <f t="shared" si="2"/>
        <v/>
      </c>
      <c r="H18" s="31" t="str">
        <f t="shared" si="3"/>
        <v/>
      </c>
      <c r="I18" s="62"/>
      <c r="J18" s="31" t="str">
        <f t="shared" si="4"/>
        <v/>
      </c>
      <c r="K18" s="33" t="str">
        <f t="shared" si="5"/>
        <v/>
      </c>
      <c r="L18" s="60"/>
    </row>
    <row r="19">
      <c r="A19" s="52">
        <v>15.0</v>
      </c>
      <c r="B19" s="57"/>
      <c r="C19" s="57"/>
      <c r="D19" s="57"/>
      <c r="E19" s="57"/>
      <c r="F19" s="37">
        <f t="shared" si="1"/>
        <v>30</v>
      </c>
      <c r="G19" s="54" t="str">
        <f t="shared" si="2"/>
        <v/>
      </c>
      <c r="H19" s="35" t="str">
        <f t="shared" si="3"/>
        <v/>
      </c>
      <c r="I19" s="55"/>
      <c r="J19" s="35" t="str">
        <f t="shared" si="4"/>
        <v/>
      </c>
      <c r="K19" s="37" t="str">
        <f t="shared" si="5"/>
        <v/>
      </c>
      <c r="L19" s="57"/>
    </row>
    <row r="20">
      <c r="A20" s="58">
        <v>16.0</v>
      </c>
      <c r="B20" s="60"/>
      <c r="C20" s="60"/>
      <c r="D20" s="60"/>
      <c r="E20" s="60"/>
      <c r="F20" s="33">
        <f t="shared" si="1"/>
        <v>30</v>
      </c>
      <c r="G20" s="61" t="str">
        <f t="shared" si="2"/>
        <v/>
      </c>
      <c r="H20" s="31" t="str">
        <f t="shared" si="3"/>
        <v/>
      </c>
      <c r="I20" s="62"/>
      <c r="J20" s="31" t="str">
        <f t="shared" si="4"/>
        <v/>
      </c>
      <c r="K20" s="33" t="str">
        <f t="shared" si="5"/>
        <v/>
      </c>
      <c r="L20" s="60"/>
    </row>
    <row r="21" ht="15.75" customHeight="1">
      <c r="A21" s="52">
        <v>17.0</v>
      </c>
      <c r="B21" s="57"/>
      <c r="C21" s="57"/>
      <c r="D21" s="57"/>
      <c r="E21" s="57"/>
      <c r="F21" s="37">
        <f t="shared" si="1"/>
        <v>30</v>
      </c>
      <c r="G21" s="54" t="str">
        <f t="shared" si="2"/>
        <v/>
      </c>
      <c r="H21" s="35" t="str">
        <f t="shared" si="3"/>
        <v/>
      </c>
      <c r="I21" s="55"/>
      <c r="J21" s="35" t="str">
        <f t="shared" si="4"/>
        <v/>
      </c>
      <c r="K21" s="37" t="str">
        <f t="shared" si="5"/>
        <v/>
      </c>
      <c r="L21" s="57"/>
    </row>
    <row r="22" ht="15.75" customHeight="1">
      <c r="A22" s="58">
        <v>18.0</v>
      </c>
      <c r="B22" s="60"/>
      <c r="C22" s="60"/>
      <c r="D22" s="60"/>
      <c r="E22" s="60"/>
      <c r="F22" s="33">
        <f t="shared" si="1"/>
        <v>30</v>
      </c>
      <c r="G22" s="61" t="str">
        <f t="shared" si="2"/>
        <v/>
      </c>
      <c r="H22" s="31" t="str">
        <f t="shared" si="3"/>
        <v/>
      </c>
      <c r="I22" s="62"/>
      <c r="J22" s="31" t="str">
        <f t="shared" si="4"/>
        <v/>
      </c>
      <c r="K22" s="33" t="str">
        <f t="shared" si="5"/>
        <v/>
      </c>
      <c r="L22" s="60"/>
    </row>
    <row r="23" ht="15.75" customHeight="1">
      <c r="A23" s="52">
        <v>19.0</v>
      </c>
      <c r="B23" s="57"/>
      <c r="C23" s="57"/>
      <c r="D23" s="57"/>
      <c r="E23" s="57"/>
      <c r="F23" s="37">
        <f t="shared" si="1"/>
        <v>30</v>
      </c>
      <c r="G23" s="54" t="str">
        <f t="shared" si="2"/>
        <v/>
      </c>
      <c r="H23" s="35" t="str">
        <f t="shared" si="3"/>
        <v/>
      </c>
      <c r="I23" s="55"/>
      <c r="J23" s="35" t="str">
        <f t="shared" si="4"/>
        <v/>
      </c>
      <c r="K23" s="37" t="str">
        <f t="shared" si="5"/>
        <v/>
      </c>
      <c r="L23" s="57"/>
    </row>
    <row r="24" ht="15.75" customHeight="1">
      <c r="A24" s="58">
        <v>20.0</v>
      </c>
      <c r="B24" s="60"/>
      <c r="C24" s="60"/>
      <c r="D24" s="60"/>
      <c r="E24" s="60"/>
      <c r="F24" s="33">
        <f t="shared" si="1"/>
        <v>30</v>
      </c>
      <c r="G24" s="61" t="str">
        <f t="shared" si="2"/>
        <v/>
      </c>
      <c r="H24" s="31" t="str">
        <f t="shared" si="3"/>
        <v/>
      </c>
      <c r="I24" s="62"/>
      <c r="J24" s="31" t="str">
        <f t="shared" si="4"/>
        <v/>
      </c>
      <c r="K24" s="33" t="str">
        <f t="shared" si="5"/>
        <v/>
      </c>
      <c r="L24" s="60"/>
    </row>
    <row r="25" ht="15.75" customHeight="1">
      <c r="A25" s="52">
        <v>21.0</v>
      </c>
      <c r="B25" s="57"/>
      <c r="C25" s="57"/>
      <c r="D25" s="57"/>
      <c r="E25" s="57"/>
      <c r="F25" s="37">
        <f t="shared" si="1"/>
        <v>30</v>
      </c>
      <c r="G25" s="54" t="str">
        <f t="shared" si="2"/>
        <v/>
      </c>
      <c r="H25" s="35" t="str">
        <f t="shared" si="3"/>
        <v/>
      </c>
      <c r="I25" s="55"/>
      <c r="J25" s="35" t="str">
        <f t="shared" si="4"/>
        <v/>
      </c>
      <c r="K25" s="37" t="str">
        <f t="shared" si="5"/>
        <v/>
      </c>
      <c r="L25" s="57"/>
    </row>
    <row r="26" ht="15.75" customHeight="1">
      <c r="A26" s="58">
        <v>22.0</v>
      </c>
      <c r="B26" s="60"/>
      <c r="C26" s="60"/>
      <c r="D26" s="60"/>
      <c r="E26" s="60"/>
      <c r="F26" s="33">
        <f t="shared" si="1"/>
        <v>30</v>
      </c>
      <c r="G26" s="61" t="str">
        <f t="shared" si="2"/>
        <v/>
      </c>
      <c r="H26" s="31" t="str">
        <f t="shared" si="3"/>
        <v/>
      </c>
      <c r="I26" s="62"/>
      <c r="J26" s="31" t="str">
        <f t="shared" si="4"/>
        <v/>
      </c>
      <c r="K26" s="33" t="str">
        <f t="shared" si="5"/>
        <v/>
      </c>
      <c r="L26" s="60"/>
    </row>
    <row r="27" ht="15.75" customHeight="1">
      <c r="A27" s="52">
        <v>23.0</v>
      </c>
      <c r="B27" s="57"/>
      <c r="C27" s="57"/>
      <c r="D27" s="57"/>
      <c r="E27" s="57"/>
      <c r="F27" s="37">
        <f t="shared" si="1"/>
        <v>30</v>
      </c>
      <c r="G27" s="54" t="str">
        <f t="shared" si="2"/>
        <v/>
      </c>
      <c r="H27" s="35" t="str">
        <f t="shared" si="3"/>
        <v/>
      </c>
      <c r="I27" s="55"/>
      <c r="J27" s="35" t="str">
        <f t="shared" si="4"/>
        <v/>
      </c>
      <c r="K27" s="37" t="str">
        <f t="shared" si="5"/>
        <v/>
      </c>
      <c r="L27" s="57"/>
    </row>
    <row r="28" ht="15.75" customHeight="1">
      <c r="A28" s="58">
        <v>24.0</v>
      </c>
      <c r="B28" s="60"/>
      <c r="C28" s="60"/>
      <c r="D28" s="60"/>
      <c r="E28" s="60"/>
      <c r="F28" s="33">
        <f t="shared" si="1"/>
        <v>30</v>
      </c>
      <c r="G28" s="61" t="str">
        <f t="shared" si="2"/>
        <v/>
      </c>
      <c r="H28" s="31" t="str">
        <f t="shared" si="3"/>
        <v/>
      </c>
      <c r="I28" s="62"/>
      <c r="J28" s="31" t="str">
        <f t="shared" si="4"/>
        <v/>
      </c>
      <c r="K28" s="33" t="str">
        <f t="shared" si="5"/>
        <v/>
      </c>
      <c r="L28" s="60"/>
    </row>
    <row r="29" ht="15.75" customHeight="1">
      <c r="A29" s="52">
        <v>25.0</v>
      </c>
      <c r="B29" s="57"/>
      <c r="C29" s="57"/>
      <c r="D29" s="57"/>
      <c r="E29" s="57"/>
      <c r="F29" s="37">
        <f t="shared" si="1"/>
        <v>30</v>
      </c>
      <c r="G29" s="54" t="str">
        <f t="shared" si="2"/>
        <v/>
      </c>
      <c r="H29" s="35" t="str">
        <f t="shared" si="3"/>
        <v/>
      </c>
      <c r="I29" s="55"/>
      <c r="J29" s="35" t="str">
        <f t="shared" si="4"/>
        <v/>
      </c>
      <c r="K29" s="37" t="str">
        <f t="shared" si="5"/>
        <v/>
      </c>
      <c r="L29" s="57"/>
    </row>
    <row r="30" ht="15.75" customHeight="1">
      <c r="A30" s="58">
        <v>26.0</v>
      </c>
      <c r="B30" s="60"/>
      <c r="C30" s="60"/>
      <c r="D30" s="60"/>
      <c r="E30" s="60"/>
      <c r="F30" s="33">
        <f t="shared" si="1"/>
        <v>30</v>
      </c>
      <c r="G30" s="61" t="str">
        <f t="shared" si="2"/>
        <v/>
      </c>
      <c r="H30" s="31" t="str">
        <f t="shared" si="3"/>
        <v/>
      </c>
      <c r="I30" s="62"/>
      <c r="J30" s="31" t="str">
        <f t="shared" si="4"/>
        <v/>
      </c>
      <c r="K30" s="33" t="str">
        <f t="shared" si="5"/>
        <v/>
      </c>
      <c r="L30" s="60"/>
    </row>
    <row r="31" ht="15.75" customHeight="1">
      <c r="A31" s="52">
        <v>27.0</v>
      </c>
      <c r="B31" s="57"/>
      <c r="C31" s="57"/>
      <c r="D31" s="57"/>
      <c r="E31" s="57"/>
      <c r="F31" s="37">
        <f t="shared" si="1"/>
        <v>30</v>
      </c>
      <c r="G31" s="54" t="str">
        <f t="shared" si="2"/>
        <v/>
      </c>
      <c r="H31" s="35" t="str">
        <f t="shared" si="3"/>
        <v/>
      </c>
      <c r="I31" s="55"/>
      <c r="J31" s="35" t="str">
        <f t="shared" si="4"/>
        <v/>
      </c>
      <c r="K31" s="37" t="str">
        <f t="shared" si="5"/>
        <v/>
      </c>
      <c r="L31" s="57"/>
    </row>
    <row r="32" ht="15.75" customHeight="1">
      <c r="A32" s="58">
        <v>28.0</v>
      </c>
      <c r="B32" s="60"/>
      <c r="C32" s="60"/>
      <c r="D32" s="60"/>
      <c r="E32" s="60"/>
      <c r="F32" s="33">
        <f t="shared" si="1"/>
        <v>30</v>
      </c>
      <c r="G32" s="61" t="str">
        <f t="shared" si="2"/>
        <v/>
      </c>
      <c r="H32" s="31" t="str">
        <f t="shared" si="3"/>
        <v/>
      </c>
      <c r="I32" s="62"/>
      <c r="J32" s="31" t="str">
        <f t="shared" si="4"/>
        <v/>
      </c>
      <c r="K32" s="33" t="str">
        <f t="shared" si="5"/>
        <v/>
      </c>
      <c r="L32" s="60"/>
    </row>
    <row r="33" ht="15.75" customHeight="1">
      <c r="A33" s="52">
        <v>29.0</v>
      </c>
      <c r="B33" s="57"/>
      <c r="C33" s="57"/>
      <c r="D33" s="57"/>
      <c r="E33" s="57"/>
      <c r="F33" s="37">
        <f t="shared" si="1"/>
        <v>30</v>
      </c>
      <c r="G33" s="54" t="str">
        <f t="shared" si="2"/>
        <v/>
      </c>
      <c r="H33" s="35" t="str">
        <f t="shared" si="3"/>
        <v/>
      </c>
      <c r="I33" s="55"/>
      <c r="J33" s="35" t="str">
        <f t="shared" si="4"/>
        <v/>
      </c>
      <c r="K33" s="37" t="str">
        <f t="shared" si="5"/>
        <v/>
      </c>
      <c r="L33" s="57"/>
    </row>
    <row r="34" ht="15.75" customHeight="1">
      <c r="A34" s="58">
        <v>30.0</v>
      </c>
      <c r="B34" s="60"/>
      <c r="C34" s="60"/>
      <c r="D34" s="60"/>
      <c r="E34" s="60"/>
      <c r="F34" s="33">
        <f t="shared" si="1"/>
        <v>30</v>
      </c>
      <c r="G34" s="61" t="str">
        <f t="shared" si="2"/>
        <v/>
      </c>
      <c r="H34" s="31" t="str">
        <f t="shared" si="3"/>
        <v/>
      </c>
      <c r="I34" s="62"/>
      <c r="J34" s="31" t="str">
        <f t="shared" si="4"/>
        <v/>
      </c>
      <c r="K34" s="33" t="str">
        <f t="shared" si="5"/>
        <v/>
      </c>
      <c r="L34" s="60"/>
    </row>
    <row r="35" ht="15.75" customHeight="1">
      <c r="A35" s="52">
        <v>31.0</v>
      </c>
      <c r="B35" s="57"/>
      <c r="C35" s="57"/>
      <c r="D35" s="57"/>
      <c r="E35" s="57"/>
      <c r="F35" s="37">
        <f t="shared" si="1"/>
        <v>30</v>
      </c>
      <c r="G35" s="54" t="str">
        <f t="shared" si="2"/>
        <v/>
      </c>
      <c r="H35" s="35" t="str">
        <f t="shared" si="3"/>
        <v/>
      </c>
      <c r="I35" s="55"/>
      <c r="J35" s="35" t="str">
        <f t="shared" si="4"/>
        <v/>
      </c>
      <c r="K35" s="37" t="str">
        <f t="shared" si="5"/>
        <v/>
      </c>
      <c r="L35" s="57"/>
    </row>
    <row r="36" ht="15.75" customHeight="1">
      <c r="A36" s="58">
        <v>32.0</v>
      </c>
      <c r="B36" s="60"/>
      <c r="C36" s="60"/>
      <c r="D36" s="60"/>
      <c r="E36" s="60"/>
      <c r="F36" s="33">
        <f t="shared" si="1"/>
        <v>30</v>
      </c>
      <c r="G36" s="61" t="str">
        <f t="shared" si="2"/>
        <v/>
      </c>
      <c r="H36" s="31" t="str">
        <f t="shared" si="3"/>
        <v/>
      </c>
      <c r="I36" s="62"/>
      <c r="J36" s="31" t="str">
        <f t="shared" si="4"/>
        <v/>
      </c>
      <c r="K36" s="33" t="str">
        <f t="shared" si="5"/>
        <v/>
      </c>
      <c r="L36" s="60"/>
    </row>
    <row r="37" ht="15.75" customHeight="1">
      <c r="A37" s="52">
        <v>33.0</v>
      </c>
      <c r="B37" s="57"/>
      <c r="C37" s="57"/>
      <c r="D37" s="57"/>
      <c r="E37" s="57"/>
      <c r="F37" s="37">
        <f t="shared" si="1"/>
        <v>30</v>
      </c>
      <c r="G37" s="54" t="str">
        <f t="shared" si="2"/>
        <v/>
      </c>
      <c r="H37" s="35" t="str">
        <f t="shared" si="3"/>
        <v/>
      </c>
      <c r="I37" s="55"/>
      <c r="J37" s="35" t="str">
        <f t="shared" si="4"/>
        <v/>
      </c>
      <c r="K37" s="37" t="str">
        <f t="shared" si="5"/>
        <v/>
      </c>
      <c r="L37" s="57"/>
    </row>
    <row r="38" ht="15.75" customHeight="1">
      <c r="A38" s="58">
        <v>34.0</v>
      </c>
      <c r="B38" s="60"/>
      <c r="C38" s="60"/>
      <c r="D38" s="60"/>
      <c r="E38" s="60"/>
      <c r="F38" s="33">
        <f t="shared" si="1"/>
        <v>30</v>
      </c>
      <c r="G38" s="61" t="str">
        <f t="shared" si="2"/>
        <v/>
      </c>
      <c r="H38" s="31" t="str">
        <f t="shared" si="3"/>
        <v/>
      </c>
      <c r="I38" s="62"/>
      <c r="J38" s="31" t="str">
        <f t="shared" si="4"/>
        <v/>
      </c>
      <c r="K38" s="33" t="str">
        <f t="shared" si="5"/>
        <v/>
      </c>
      <c r="L38" s="60"/>
    </row>
    <row r="39" ht="15.75" customHeight="1">
      <c r="A39" s="52">
        <v>35.0</v>
      </c>
      <c r="B39" s="57"/>
      <c r="C39" s="57"/>
      <c r="D39" s="57"/>
      <c r="E39" s="57"/>
      <c r="F39" s="37">
        <f t="shared" si="1"/>
        <v>30</v>
      </c>
      <c r="G39" s="54" t="str">
        <f t="shared" si="2"/>
        <v/>
      </c>
      <c r="H39" s="35" t="str">
        <f t="shared" si="3"/>
        <v/>
      </c>
      <c r="I39" s="55"/>
      <c r="J39" s="35" t="str">
        <f t="shared" si="4"/>
        <v/>
      </c>
      <c r="K39" s="37" t="str">
        <f t="shared" si="5"/>
        <v/>
      </c>
      <c r="L39" s="57"/>
    </row>
    <row r="40" ht="15.75" customHeight="1">
      <c r="A40" s="58">
        <v>36.0</v>
      </c>
      <c r="B40" s="60"/>
      <c r="C40" s="60"/>
      <c r="D40" s="60"/>
      <c r="E40" s="60"/>
      <c r="F40" s="33">
        <f t="shared" si="1"/>
        <v>30</v>
      </c>
      <c r="G40" s="61" t="str">
        <f t="shared" si="2"/>
        <v/>
      </c>
      <c r="H40" s="31" t="str">
        <f t="shared" si="3"/>
        <v/>
      </c>
      <c r="I40" s="62"/>
      <c r="J40" s="31" t="str">
        <f t="shared" si="4"/>
        <v/>
      </c>
      <c r="K40" s="33" t="str">
        <f t="shared" si="5"/>
        <v/>
      </c>
      <c r="L40" s="60"/>
    </row>
    <row r="41" ht="15.75" customHeight="1">
      <c r="A41" s="52">
        <v>37.0</v>
      </c>
      <c r="B41" s="57"/>
      <c r="C41" s="57"/>
      <c r="D41" s="57"/>
      <c r="E41" s="57"/>
      <c r="F41" s="37">
        <f t="shared" si="1"/>
        <v>30</v>
      </c>
      <c r="G41" s="54" t="str">
        <f t="shared" si="2"/>
        <v/>
      </c>
      <c r="H41" s="35" t="str">
        <f t="shared" si="3"/>
        <v/>
      </c>
      <c r="I41" s="55"/>
      <c r="J41" s="35" t="str">
        <f t="shared" si="4"/>
        <v/>
      </c>
      <c r="K41" s="37" t="str">
        <f t="shared" si="5"/>
        <v/>
      </c>
      <c r="L41" s="57"/>
    </row>
    <row r="42" ht="15.75" customHeight="1">
      <c r="A42" s="58">
        <v>38.0</v>
      </c>
      <c r="B42" s="60"/>
      <c r="C42" s="60"/>
      <c r="D42" s="60"/>
      <c r="E42" s="60"/>
      <c r="F42" s="33">
        <f t="shared" si="1"/>
        <v>30</v>
      </c>
      <c r="G42" s="61" t="str">
        <f t="shared" si="2"/>
        <v/>
      </c>
      <c r="H42" s="31" t="str">
        <f t="shared" si="3"/>
        <v/>
      </c>
      <c r="I42" s="62"/>
      <c r="J42" s="31" t="str">
        <f t="shared" si="4"/>
        <v/>
      </c>
      <c r="K42" s="33" t="str">
        <f t="shared" si="5"/>
        <v/>
      </c>
      <c r="L42" s="60"/>
    </row>
    <row r="43" ht="15.75" customHeight="1">
      <c r="A43" s="52">
        <v>39.0</v>
      </c>
      <c r="B43" s="57"/>
      <c r="C43" s="57"/>
      <c r="D43" s="57"/>
      <c r="E43" s="57"/>
      <c r="F43" s="37">
        <f t="shared" si="1"/>
        <v>30</v>
      </c>
      <c r="G43" s="54" t="str">
        <f t="shared" si="2"/>
        <v/>
      </c>
      <c r="H43" s="35" t="str">
        <f t="shared" si="3"/>
        <v/>
      </c>
      <c r="I43" s="55"/>
      <c r="J43" s="35" t="str">
        <f t="shared" si="4"/>
        <v/>
      </c>
      <c r="K43" s="37" t="str">
        <f t="shared" si="5"/>
        <v/>
      </c>
      <c r="L43" s="57"/>
    </row>
    <row r="44" ht="15.75" customHeight="1">
      <c r="A44" s="58">
        <v>40.0</v>
      </c>
      <c r="B44" s="60"/>
      <c r="C44" s="60"/>
      <c r="D44" s="60"/>
      <c r="E44" s="60"/>
      <c r="F44" s="33">
        <f t="shared" si="1"/>
        <v>30</v>
      </c>
      <c r="G44" s="61" t="str">
        <f t="shared" si="2"/>
        <v/>
      </c>
      <c r="H44" s="31" t="str">
        <f t="shared" si="3"/>
        <v/>
      </c>
      <c r="I44" s="62"/>
      <c r="J44" s="31" t="str">
        <f t="shared" si="4"/>
        <v/>
      </c>
      <c r="K44" s="33" t="str">
        <f t="shared" si="5"/>
        <v/>
      </c>
      <c r="L44" s="60"/>
    </row>
    <row r="45" ht="15.75" customHeight="1">
      <c r="A45" s="52">
        <v>41.0</v>
      </c>
      <c r="B45" s="57"/>
      <c r="C45" s="57"/>
      <c r="D45" s="57"/>
      <c r="E45" s="57"/>
      <c r="F45" s="37">
        <f t="shared" si="1"/>
        <v>30</v>
      </c>
      <c r="G45" s="54" t="str">
        <f t="shared" si="2"/>
        <v/>
      </c>
      <c r="H45" s="35" t="str">
        <f t="shared" si="3"/>
        <v/>
      </c>
      <c r="I45" s="55"/>
      <c r="J45" s="35" t="str">
        <f t="shared" si="4"/>
        <v/>
      </c>
      <c r="K45" s="37" t="str">
        <f t="shared" si="5"/>
        <v/>
      </c>
      <c r="L45" s="57"/>
    </row>
    <row r="46" ht="15.75" customHeight="1">
      <c r="A46" s="58">
        <v>42.0</v>
      </c>
      <c r="B46" s="60"/>
      <c r="C46" s="60"/>
      <c r="D46" s="60"/>
      <c r="E46" s="60"/>
      <c r="F46" s="33">
        <f t="shared" si="1"/>
        <v>30</v>
      </c>
      <c r="G46" s="61" t="str">
        <f t="shared" si="2"/>
        <v/>
      </c>
      <c r="H46" s="31" t="str">
        <f t="shared" si="3"/>
        <v/>
      </c>
      <c r="I46" s="62"/>
      <c r="J46" s="31" t="str">
        <f t="shared" si="4"/>
        <v/>
      </c>
      <c r="K46" s="33" t="str">
        <f t="shared" si="5"/>
        <v/>
      </c>
      <c r="L46" s="60"/>
    </row>
    <row r="47" ht="15.75" customHeight="1">
      <c r="A47" s="52">
        <v>43.0</v>
      </c>
      <c r="B47" s="57"/>
      <c r="C47" s="57"/>
      <c r="D47" s="57"/>
      <c r="E47" s="57"/>
      <c r="F47" s="37">
        <f t="shared" si="1"/>
        <v>30</v>
      </c>
      <c r="G47" s="54" t="str">
        <f t="shared" si="2"/>
        <v/>
      </c>
      <c r="H47" s="35" t="str">
        <f t="shared" si="3"/>
        <v/>
      </c>
      <c r="I47" s="55"/>
      <c r="J47" s="35" t="str">
        <f t="shared" si="4"/>
        <v/>
      </c>
      <c r="K47" s="37" t="str">
        <f t="shared" si="5"/>
        <v/>
      </c>
      <c r="L47" s="57"/>
    </row>
    <row r="48" ht="15.75" customHeight="1">
      <c r="A48" s="58">
        <v>44.0</v>
      </c>
      <c r="B48" s="60"/>
      <c r="C48" s="60"/>
      <c r="D48" s="60"/>
      <c r="E48" s="60"/>
      <c r="F48" s="33">
        <f t="shared" si="1"/>
        <v>30</v>
      </c>
      <c r="G48" s="61" t="str">
        <f t="shared" si="2"/>
        <v/>
      </c>
      <c r="H48" s="31" t="str">
        <f t="shared" si="3"/>
        <v/>
      </c>
      <c r="I48" s="62"/>
      <c r="J48" s="31" t="str">
        <f t="shared" si="4"/>
        <v/>
      </c>
      <c r="K48" s="33" t="str">
        <f t="shared" si="5"/>
        <v/>
      </c>
      <c r="L48" s="60"/>
    </row>
    <row r="49" ht="15.75" customHeight="1">
      <c r="A49" s="52">
        <v>45.0</v>
      </c>
      <c r="B49" s="57"/>
      <c r="C49" s="57"/>
      <c r="D49" s="57"/>
      <c r="E49" s="57"/>
      <c r="F49" s="37">
        <f t="shared" si="1"/>
        <v>30</v>
      </c>
      <c r="G49" s="54" t="str">
        <f t="shared" si="2"/>
        <v/>
      </c>
      <c r="H49" s="35" t="str">
        <f t="shared" si="3"/>
        <v/>
      </c>
      <c r="I49" s="55"/>
      <c r="J49" s="35" t="str">
        <f t="shared" si="4"/>
        <v/>
      </c>
      <c r="K49" s="37" t="str">
        <f t="shared" si="5"/>
        <v/>
      </c>
      <c r="L49" s="57"/>
    </row>
    <row r="50" ht="15.75" customHeight="1">
      <c r="A50" s="58">
        <v>46.0</v>
      </c>
      <c r="B50" s="60"/>
      <c r="C50" s="60"/>
      <c r="D50" s="60"/>
      <c r="E50" s="60"/>
      <c r="F50" s="33">
        <f t="shared" si="1"/>
        <v>30</v>
      </c>
      <c r="G50" s="61" t="str">
        <f t="shared" si="2"/>
        <v/>
      </c>
      <c r="H50" s="31" t="str">
        <f t="shared" si="3"/>
        <v/>
      </c>
      <c r="I50" s="62"/>
      <c r="J50" s="31" t="str">
        <f t="shared" si="4"/>
        <v/>
      </c>
      <c r="K50" s="33" t="str">
        <f t="shared" si="5"/>
        <v/>
      </c>
      <c r="L50" s="60"/>
    </row>
    <row r="51" ht="15.75" customHeight="1">
      <c r="A51" s="52">
        <v>47.0</v>
      </c>
      <c r="B51" s="57"/>
      <c r="C51" s="57"/>
      <c r="D51" s="57"/>
      <c r="E51" s="57"/>
      <c r="F51" s="37">
        <f t="shared" si="1"/>
        <v>30</v>
      </c>
      <c r="G51" s="54" t="str">
        <f t="shared" si="2"/>
        <v/>
      </c>
      <c r="H51" s="35" t="str">
        <f t="shared" si="3"/>
        <v/>
      </c>
      <c r="I51" s="55"/>
      <c r="J51" s="35" t="str">
        <f t="shared" si="4"/>
        <v/>
      </c>
      <c r="K51" s="37" t="str">
        <f t="shared" si="5"/>
        <v/>
      </c>
      <c r="L51" s="57"/>
    </row>
    <row r="52" ht="15.75" customHeight="1">
      <c r="A52" s="58">
        <v>48.0</v>
      </c>
      <c r="B52" s="60"/>
      <c r="C52" s="60"/>
      <c r="D52" s="60"/>
      <c r="E52" s="60"/>
      <c r="F52" s="33">
        <f t="shared" si="1"/>
        <v>30</v>
      </c>
      <c r="G52" s="61" t="str">
        <f t="shared" si="2"/>
        <v/>
      </c>
      <c r="H52" s="31" t="str">
        <f t="shared" si="3"/>
        <v/>
      </c>
      <c r="I52" s="62"/>
      <c r="J52" s="31" t="str">
        <f t="shared" si="4"/>
        <v/>
      </c>
      <c r="K52" s="33" t="str">
        <f t="shared" si="5"/>
        <v/>
      </c>
      <c r="L52" s="60"/>
    </row>
    <row r="53" ht="15.75" customHeight="1">
      <c r="A53" s="52">
        <v>49.0</v>
      </c>
      <c r="B53" s="57"/>
      <c r="C53" s="57"/>
      <c r="D53" s="57"/>
      <c r="E53" s="57"/>
      <c r="F53" s="37">
        <f t="shared" si="1"/>
        <v>30</v>
      </c>
      <c r="G53" s="54" t="str">
        <f t="shared" si="2"/>
        <v/>
      </c>
      <c r="H53" s="35" t="str">
        <f t="shared" si="3"/>
        <v/>
      </c>
      <c r="I53" s="55"/>
      <c r="J53" s="35" t="str">
        <f t="shared" si="4"/>
        <v/>
      </c>
      <c r="K53" s="37" t="str">
        <f t="shared" si="5"/>
        <v/>
      </c>
      <c r="L53" s="57"/>
    </row>
    <row r="54" ht="15.75" customHeight="1">
      <c r="A54" s="58">
        <v>50.0</v>
      </c>
      <c r="B54" s="60"/>
      <c r="C54" s="60"/>
      <c r="D54" s="60"/>
      <c r="E54" s="60"/>
      <c r="F54" s="33">
        <f t="shared" si="1"/>
        <v>30</v>
      </c>
      <c r="G54" s="61" t="str">
        <f t="shared" si="2"/>
        <v/>
      </c>
      <c r="H54" s="31" t="str">
        <f t="shared" si="3"/>
        <v/>
      </c>
      <c r="I54" s="62"/>
      <c r="J54" s="31" t="str">
        <f t="shared" si="4"/>
        <v/>
      </c>
      <c r="K54" s="33" t="str">
        <f t="shared" si="5"/>
        <v/>
      </c>
      <c r="L54" s="60"/>
    </row>
    <row r="55" ht="21.75" customHeight="1">
      <c r="A55" s="63" t="s">
        <v>73</v>
      </c>
      <c r="B55" s="63"/>
      <c r="C55" s="63"/>
      <c r="D55" s="63"/>
      <c r="E55" s="63"/>
      <c r="F55" s="63"/>
      <c r="G55" s="63"/>
      <c r="H55" s="64">
        <f t="shared" ref="H55:J55" si="6">SUM(H5:H54)</f>
        <v>40920</v>
      </c>
      <c r="I55" s="64">
        <f t="shared" si="6"/>
        <v>0</v>
      </c>
      <c r="J55" s="64">
        <f t="shared" si="6"/>
        <v>40920</v>
      </c>
      <c r="K55" s="65"/>
      <c r="L55" s="65"/>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L1"/>
    <mergeCell ref="A2:L2"/>
    <mergeCell ref="E3:L3"/>
  </mergeCells>
  <conditionalFormatting sqref="K5:K54">
    <cfRule type="containsText" dxfId="0" priority="1" operator="containsText" text="Paid">
      <formula>NOT(ISERROR(SEARCH(("Paid"),(K5))))</formula>
    </cfRule>
  </conditionalFormatting>
  <conditionalFormatting sqref="K5:K54">
    <cfRule type="containsText" dxfId="1" priority="2" operator="containsText" text="Unpaid">
      <formula>NOT(ISERROR(SEARCH(("Unpaid"),(K5))))</formula>
    </cfRule>
  </conditionalFormatting>
  <conditionalFormatting sqref="K5:K54">
    <cfRule type="containsText" dxfId="2" priority="3" operator="containsText" text="Partial">
      <formula>NOT(ISERROR(SEARCH(("Partial"),(K5))))</formula>
    </cfRule>
  </conditionalFormatting>
  <dataValidations>
    <dataValidation type="list" allowBlank="1" sqref="K5:K54">
      <formula1>"Paid,Unpaid,Partial"</formula1>
    </dataValidation>
    <dataValidation type="list" allowBlank="1" sqref="B5:B54">
      <formula1>"January,February,March,April,May,June,July,August,September,October,November,December"</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7A6E"/>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5.0"/>
    <col customWidth="1" min="3" max="3" width="24.0"/>
    <col customWidth="1" min="4" max="5" width="18.0"/>
    <col customWidth="1" min="6" max="7" width="9.0"/>
    <col customWidth="1" min="8" max="11" width="13.0"/>
    <col customWidth="1" min="12" max="12" width="16.0"/>
    <col customWidth="1" min="13" max="13" width="18.0"/>
    <col customWidth="1" min="14" max="26" width="8.71"/>
  </cols>
  <sheetData>
    <row r="1" ht="37.5" customHeight="1">
      <c r="A1" s="66" t="s">
        <v>74</v>
      </c>
      <c r="B1" s="2"/>
      <c r="C1" s="2"/>
      <c r="D1" s="2"/>
      <c r="E1" s="2"/>
      <c r="F1" s="2"/>
      <c r="G1" s="2"/>
      <c r="H1" s="2"/>
      <c r="I1" s="2"/>
      <c r="J1" s="2"/>
      <c r="K1" s="2"/>
      <c r="L1" s="2"/>
      <c r="M1" s="3"/>
    </row>
    <row r="2" ht="18.0" customHeight="1">
      <c r="A2" s="67" t="s">
        <v>75</v>
      </c>
      <c r="B2" s="2"/>
      <c r="C2" s="2"/>
      <c r="D2" s="2"/>
      <c r="E2" s="2"/>
      <c r="F2" s="2"/>
      <c r="G2" s="2"/>
      <c r="H2" s="2"/>
      <c r="I2" s="2"/>
      <c r="J2" s="2"/>
      <c r="K2" s="2"/>
      <c r="L2" s="2"/>
      <c r="M2" s="3"/>
    </row>
    <row r="3" ht="18.0" customHeight="1">
      <c r="A3" s="68" t="s">
        <v>56</v>
      </c>
      <c r="B3" s="48" t="s">
        <v>57</v>
      </c>
      <c r="C3" s="49" t="s">
        <v>58</v>
      </c>
      <c r="D3" s="69" t="s">
        <v>76</v>
      </c>
      <c r="E3" s="50" t="s">
        <v>59</v>
      </c>
      <c r="F3" s="51"/>
      <c r="G3" s="2"/>
      <c r="H3" s="2"/>
      <c r="I3" s="2"/>
      <c r="J3" s="2"/>
      <c r="K3" s="2"/>
      <c r="L3" s="2"/>
      <c r="M3" s="3"/>
    </row>
    <row r="4" ht="31.5" customHeight="1">
      <c r="A4" s="24" t="s">
        <v>60</v>
      </c>
      <c r="B4" s="24" t="s">
        <v>26</v>
      </c>
      <c r="C4" s="24" t="s">
        <v>61</v>
      </c>
      <c r="D4" s="24" t="s">
        <v>77</v>
      </c>
      <c r="E4" s="24" t="s">
        <v>78</v>
      </c>
      <c r="F4" s="24" t="s">
        <v>79</v>
      </c>
      <c r="G4" s="24" t="s">
        <v>80</v>
      </c>
      <c r="H4" s="24" t="s">
        <v>81</v>
      </c>
      <c r="I4" s="24" t="s">
        <v>82</v>
      </c>
      <c r="J4" s="24" t="s">
        <v>66</v>
      </c>
      <c r="K4" s="24" t="s">
        <v>67</v>
      </c>
      <c r="L4" s="24" t="s">
        <v>68</v>
      </c>
      <c r="M4" s="24" t="s">
        <v>69</v>
      </c>
    </row>
    <row r="5">
      <c r="A5" s="52">
        <v>1.0</v>
      </c>
      <c r="B5" s="70" t="s">
        <v>3</v>
      </c>
      <c r="C5" s="70" t="s">
        <v>83</v>
      </c>
      <c r="D5" s="71"/>
      <c r="E5" s="70" t="s">
        <v>84</v>
      </c>
      <c r="F5" s="70">
        <v>4.0</v>
      </c>
      <c r="G5" s="70">
        <v>380.0</v>
      </c>
      <c r="H5" s="70">
        <v>1.0</v>
      </c>
      <c r="I5" s="35">
        <f t="shared" ref="I5:I8" si="1">IFERROR(IF(OR(H5="",B5=""),"",ROUND(H5*switch(B5,"January",4.43,"February",4,"March",4.43,"April",4.33,"May",4.43,"June",4.33,"July",4.43,"August",4.43,"September",4.33,"October",4.43,"November",4.33,"December",4.43,4.33),0)),"")</f>
        <v>4</v>
      </c>
      <c r="J5" s="72">
        <v>6080.0</v>
      </c>
      <c r="K5" s="73"/>
      <c r="L5" s="35">
        <f t="shared" ref="L5:L54" si="2">IF(J5="","",J5-IF(K5="",0,K5))</f>
        <v>6080</v>
      </c>
      <c r="M5" s="37" t="str">
        <f t="shared" ref="M5:M54" si="3">IF(J5="","",IF(K5="","Unpaid",IF(K5&gt;=J5,"Paid",IF(K5&gt;0,"Partial","Unpaid"))))</f>
        <v>Unpaid</v>
      </c>
    </row>
    <row r="6">
      <c r="A6" s="58">
        <v>2.0</v>
      </c>
      <c r="B6" s="74" t="s">
        <v>3</v>
      </c>
      <c r="C6" s="74" t="s">
        <v>85</v>
      </c>
      <c r="D6" s="75"/>
      <c r="E6" s="74" t="s">
        <v>86</v>
      </c>
      <c r="F6" s="74">
        <v>2.0</v>
      </c>
      <c r="G6" s="74">
        <v>330.0</v>
      </c>
      <c r="H6" s="74">
        <v>5.0</v>
      </c>
      <c r="I6" s="31">
        <f t="shared" si="1"/>
        <v>22</v>
      </c>
      <c r="J6" s="31">
        <f t="shared" ref="J6:J9" si="4">IF(OR(I6="",F6="",G6=""),"",I6*F6*G6)</f>
        <v>14520</v>
      </c>
      <c r="K6" s="76"/>
      <c r="L6" s="31">
        <f t="shared" si="2"/>
        <v>14520</v>
      </c>
      <c r="M6" s="33" t="str">
        <f t="shared" si="3"/>
        <v>Unpaid</v>
      </c>
    </row>
    <row r="7">
      <c r="A7" s="52">
        <v>3.0</v>
      </c>
      <c r="B7" s="70" t="s">
        <v>3</v>
      </c>
      <c r="C7" s="70" t="s">
        <v>87</v>
      </c>
      <c r="D7" s="71"/>
      <c r="E7" s="70" t="s">
        <v>84</v>
      </c>
      <c r="F7" s="70">
        <v>4.0</v>
      </c>
      <c r="G7" s="70">
        <v>330.0</v>
      </c>
      <c r="H7" s="70">
        <v>1.0</v>
      </c>
      <c r="I7" s="35">
        <f t="shared" si="1"/>
        <v>4</v>
      </c>
      <c r="J7" s="35">
        <f t="shared" si="4"/>
        <v>5280</v>
      </c>
      <c r="K7" s="73"/>
      <c r="L7" s="35">
        <f t="shared" si="2"/>
        <v>5280</v>
      </c>
      <c r="M7" s="37" t="str">
        <f t="shared" si="3"/>
        <v>Unpaid</v>
      </c>
    </row>
    <row r="8">
      <c r="A8" s="58">
        <v>4.0</v>
      </c>
      <c r="B8" s="74" t="s">
        <v>3</v>
      </c>
      <c r="C8" s="74" t="s">
        <v>88</v>
      </c>
      <c r="D8" s="75"/>
      <c r="E8" s="74" t="s">
        <v>84</v>
      </c>
      <c r="F8" s="74">
        <v>2.0</v>
      </c>
      <c r="G8" s="74">
        <v>380.0</v>
      </c>
      <c r="H8" s="74">
        <v>1.0</v>
      </c>
      <c r="I8" s="31">
        <f t="shared" si="1"/>
        <v>4</v>
      </c>
      <c r="J8" s="31">
        <f t="shared" si="4"/>
        <v>3040</v>
      </c>
      <c r="K8" s="76"/>
      <c r="L8" s="31">
        <f t="shared" si="2"/>
        <v>3040</v>
      </c>
      <c r="M8" s="33" t="str">
        <f t="shared" si="3"/>
        <v>Unpaid</v>
      </c>
    </row>
    <row r="9">
      <c r="A9" s="52">
        <v>5.0</v>
      </c>
      <c r="B9" s="70" t="s">
        <v>3</v>
      </c>
      <c r="C9" s="70" t="s">
        <v>89</v>
      </c>
      <c r="D9" s="71"/>
      <c r="E9" s="71"/>
      <c r="F9" s="70">
        <v>1.0</v>
      </c>
      <c r="G9" s="70">
        <v>430.0</v>
      </c>
      <c r="H9" s="71"/>
      <c r="I9" s="72">
        <v>9.0</v>
      </c>
      <c r="J9" s="35">
        <f t="shared" si="4"/>
        <v>3870</v>
      </c>
      <c r="K9" s="73"/>
      <c r="L9" s="35">
        <f t="shared" si="2"/>
        <v>3870</v>
      </c>
      <c r="M9" s="37" t="str">
        <f t="shared" si="3"/>
        <v>Unpaid</v>
      </c>
    </row>
    <row r="10">
      <c r="A10" s="58">
        <v>6.0</v>
      </c>
      <c r="B10" s="74" t="s">
        <v>3</v>
      </c>
      <c r="C10" s="74" t="s">
        <v>90</v>
      </c>
      <c r="D10" s="75"/>
      <c r="E10" s="75"/>
      <c r="F10" s="75"/>
      <c r="G10" s="75"/>
      <c r="H10" s="75"/>
      <c r="I10" s="31" t="str">
        <f>IFERROR(IF(OR(H10="",B10=""),"",ROUND(H10*switch(B10,"January",4.43,"February",4,"March",4.43,"April",4.33,"May",4.43,"June",4.33,"July",4.43,"August",4.43,"September",4.33,"October",4.43,"November",4.33,"December",4.43,4.33),0)),"")</f>
        <v/>
      </c>
      <c r="J10" s="77">
        <v>1290.0</v>
      </c>
      <c r="K10" s="76"/>
      <c r="L10" s="31">
        <f t="shared" si="2"/>
        <v>1290</v>
      </c>
      <c r="M10" s="33" t="str">
        <f t="shared" si="3"/>
        <v>Unpaid</v>
      </c>
    </row>
    <row r="11">
      <c r="A11" s="52">
        <v>7.0</v>
      </c>
      <c r="B11" s="70" t="s">
        <v>3</v>
      </c>
      <c r="C11" s="59" t="s">
        <v>91</v>
      </c>
      <c r="D11" s="71"/>
      <c r="E11" s="71"/>
      <c r="F11" s="71"/>
      <c r="G11" s="70">
        <v>430.0</v>
      </c>
      <c r="H11" s="71"/>
      <c r="I11" s="72">
        <v>13.0</v>
      </c>
      <c r="J11" s="72">
        <v>22360.0</v>
      </c>
      <c r="K11" s="73"/>
      <c r="L11" s="35">
        <f t="shared" si="2"/>
        <v>22360</v>
      </c>
      <c r="M11" s="37" t="str">
        <f t="shared" si="3"/>
        <v>Unpaid</v>
      </c>
    </row>
    <row r="12">
      <c r="A12" s="58">
        <v>8.0</v>
      </c>
      <c r="B12" s="75"/>
      <c r="C12" s="75"/>
      <c r="D12" s="75"/>
      <c r="E12" s="75"/>
      <c r="F12" s="75"/>
      <c r="G12" s="75"/>
      <c r="H12" s="75"/>
      <c r="I12" s="31" t="str">
        <f t="shared" ref="I12:I54" si="5">IFERROR(IF(OR(H12="",B12=""),"",ROUND(H12*switch(B12,"January",4.43,"February",4,"March",4.43,"April",4.33,"May",4.43,"June",4.33,"July",4.43,"August",4.43,"September",4.33,"October",4.43,"November",4.33,"December",4.43,4.33),0)),"")</f>
        <v/>
      </c>
      <c r="J12" s="31" t="str">
        <f t="shared" ref="J12:J54" si="6">IF(OR(I12="",F12="",G12=""),"",I12*F12*G12)</f>
        <v/>
      </c>
      <c r="K12" s="76"/>
      <c r="L12" s="31" t="str">
        <f t="shared" si="2"/>
        <v/>
      </c>
      <c r="M12" s="33" t="str">
        <f t="shared" si="3"/>
        <v/>
      </c>
    </row>
    <row r="13">
      <c r="A13" s="52">
        <v>9.0</v>
      </c>
      <c r="B13" s="71"/>
      <c r="C13" s="71"/>
      <c r="D13" s="71"/>
      <c r="E13" s="71"/>
      <c r="F13" s="71"/>
      <c r="G13" s="71"/>
      <c r="H13" s="71"/>
      <c r="I13" s="35" t="str">
        <f t="shared" si="5"/>
        <v/>
      </c>
      <c r="J13" s="35" t="str">
        <f t="shared" si="6"/>
        <v/>
      </c>
      <c r="K13" s="73"/>
      <c r="L13" s="35" t="str">
        <f t="shared" si="2"/>
        <v/>
      </c>
      <c r="M13" s="37" t="str">
        <f t="shared" si="3"/>
        <v/>
      </c>
    </row>
    <row r="14">
      <c r="A14" s="58">
        <v>10.0</v>
      </c>
      <c r="B14" s="75"/>
      <c r="C14" s="75"/>
      <c r="D14" s="75"/>
      <c r="E14" s="75"/>
      <c r="F14" s="75"/>
      <c r="G14" s="75"/>
      <c r="H14" s="75"/>
      <c r="I14" s="31" t="str">
        <f t="shared" si="5"/>
        <v/>
      </c>
      <c r="J14" s="31" t="str">
        <f t="shared" si="6"/>
        <v/>
      </c>
      <c r="K14" s="76"/>
      <c r="L14" s="31" t="str">
        <f t="shared" si="2"/>
        <v/>
      </c>
      <c r="M14" s="33" t="str">
        <f t="shared" si="3"/>
        <v/>
      </c>
    </row>
    <row r="15">
      <c r="A15" s="52">
        <v>11.0</v>
      </c>
      <c r="B15" s="71"/>
      <c r="C15" s="71"/>
      <c r="D15" s="71"/>
      <c r="E15" s="71"/>
      <c r="F15" s="71"/>
      <c r="G15" s="71"/>
      <c r="H15" s="71"/>
      <c r="I15" s="35" t="str">
        <f t="shared" si="5"/>
        <v/>
      </c>
      <c r="J15" s="35" t="str">
        <f t="shared" si="6"/>
        <v/>
      </c>
      <c r="K15" s="73"/>
      <c r="L15" s="35" t="str">
        <f t="shared" si="2"/>
        <v/>
      </c>
      <c r="M15" s="37" t="str">
        <f t="shared" si="3"/>
        <v/>
      </c>
    </row>
    <row r="16">
      <c r="A16" s="58">
        <v>12.0</v>
      </c>
      <c r="B16" s="75"/>
      <c r="C16" s="75"/>
      <c r="D16" s="75"/>
      <c r="E16" s="75"/>
      <c r="F16" s="75"/>
      <c r="G16" s="75"/>
      <c r="H16" s="75"/>
      <c r="I16" s="31" t="str">
        <f t="shared" si="5"/>
        <v/>
      </c>
      <c r="J16" s="31" t="str">
        <f t="shared" si="6"/>
        <v/>
      </c>
      <c r="K16" s="76"/>
      <c r="L16" s="31" t="str">
        <f t="shared" si="2"/>
        <v/>
      </c>
      <c r="M16" s="33" t="str">
        <f t="shared" si="3"/>
        <v/>
      </c>
    </row>
    <row r="17">
      <c r="A17" s="52">
        <v>13.0</v>
      </c>
      <c r="B17" s="71"/>
      <c r="C17" s="71"/>
      <c r="D17" s="71"/>
      <c r="E17" s="71"/>
      <c r="F17" s="71"/>
      <c r="G17" s="71"/>
      <c r="H17" s="71"/>
      <c r="I17" s="35" t="str">
        <f t="shared" si="5"/>
        <v/>
      </c>
      <c r="J17" s="35" t="str">
        <f t="shared" si="6"/>
        <v/>
      </c>
      <c r="K17" s="73"/>
      <c r="L17" s="35" t="str">
        <f t="shared" si="2"/>
        <v/>
      </c>
      <c r="M17" s="37" t="str">
        <f t="shared" si="3"/>
        <v/>
      </c>
    </row>
    <row r="18">
      <c r="A18" s="58">
        <v>14.0</v>
      </c>
      <c r="B18" s="75"/>
      <c r="C18" s="75"/>
      <c r="D18" s="75"/>
      <c r="E18" s="75"/>
      <c r="F18" s="75"/>
      <c r="G18" s="75"/>
      <c r="H18" s="75"/>
      <c r="I18" s="31" t="str">
        <f t="shared" si="5"/>
        <v/>
      </c>
      <c r="J18" s="31" t="str">
        <f t="shared" si="6"/>
        <v/>
      </c>
      <c r="K18" s="76"/>
      <c r="L18" s="31" t="str">
        <f t="shared" si="2"/>
        <v/>
      </c>
      <c r="M18" s="33" t="str">
        <f t="shared" si="3"/>
        <v/>
      </c>
    </row>
    <row r="19">
      <c r="A19" s="52">
        <v>15.0</v>
      </c>
      <c r="B19" s="71"/>
      <c r="C19" s="71"/>
      <c r="D19" s="71"/>
      <c r="E19" s="71"/>
      <c r="F19" s="71"/>
      <c r="G19" s="71"/>
      <c r="H19" s="71"/>
      <c r="I19" s="35" t="str">
        <f t="shared" si="5"/>
        <v/>
      </c>
      <c r="J19" s="35" t="str">
        <f t="shared" si="6"/>
        <v/>
      </c>
      <c r="K19" s="73"/>
      <c r="L19" s="35" t="str">
        <f t="shared" si="2"/>
        <v/>
      </c>
      <c r="M19" s="37" t="str">
        <f t="shared" si="3"/>
        <v/>
      </c>
    </row>
    <row r="20">
      <c r="A20" s="58">
        <v>16.0</v>
      </c>
      <c r="B20" s="75"/>
      <c r="C20" s="75"/>
      <c r="D20" s="75"/>
      <c r="E20" s="75"/>
      <c r="F20" s="75"/>
      <c r="G20" s="75"/>
      <c r="H20" s="75"/>
      <c r="I20" s="31" t="str">
        <f t="shared" si="5"/>
        <v/>
      </c>
      <c r="J20" s="31" t="str">
        <f t="shared" si="6"/>
        <v/>
      </c>
      <c r="K20" s="76"/>
      <c r="L20" s="31" t="str">
        <f t="shared" si="2"/>
        <v/>
      </c>
      <c r="M20" s="33" t="str">
        <f t="shared" si="3"/>
        <v/>
      </c>
    </row>
    <row r="21" ht="15.75" customHeight="1">
      <c r="A21" s="52">
        <v>17.0</v>
      </c>
      <c r="B21" s="71"/>
      <c r="C21" s="71"/>
      <c r="D21" s="71"/>
      <c r="E21" s="71"/>
      <c r="F21" s="71"/>
      <c r="G21" s="71"/>
      <c r="H21" s="71"/>
      <c r="I21" s="35" t="str">
        <f t="shared" si="5"/>
        <v/>
      </c>
      <c r="J21" s="35" t="str">
        <f t="shared" si="6"/>
        <v/>
      </c>
      <c r="K21" s="73"/>
      <c r="L21" s="35" t="str">
        <f t="shared" si="2"/>
        <v/>
      </c>
      <c r="M21" s="37" t="str">
        <f t="shared" si="3"/>
        <v/>
      </c>
    </row>
    <row r="22" ht="15.75" customHeight="1">
      <c r="A22" s="58">
        <v>18.0</v>
      </c>
      <c r="B22" s="75"/>
      <c r="C22" s="75"/>
      <c r="D22" s="75"/>
      <c r="E22" s="75"/>
      <c r="F22" s="75"/>
      <c r="G22" s="75"/>
      <c r="H22" s="75"/>
      <c r="I22" s="31" t="str">
        <f t="shared" si="5"/>
        <v/>
      </c>
      <c r="J22" s="31" t="str">
        <f t="shared" si="6"/>
        <v/>
      </c>
      <c r="K22" s="76"/>
      <c r="L22" s="31" t="str">
        <f t="shared" si="2"/>
        <v/>
      </c>
      <c r="M22" s="33" t="str">
        <f t="shared" si="3"/>
        <v/>
      </c>
    </row>
    <row r="23" ht="15.75" customHeight="1">
      <c r="A23" s="52">
        <v>19.0</v>
      </c>
      <c r="B23" s="71"/>
      <c r="C23" s="71"/>
      <c r="D23" s="71"/>
      <c r="E23" s="71"/>
      <c r="F23" s="71"/>
      <c r="G23" s="71"/>
      <c r="H23" s="71"/>
      <c r="I23" s="35" t="str">
        <f t="shared" si="5"/>
        <v/>
      </c>
      <c r="J23" s="35" t="str">
        <f t="shared" si="6"/>
        <v/>
      </c>
      <c r="K23" s="73"/>
      <c r="L23" s="35" t="str">
        <f t="shared" si="2"/>
        <v/>
      </c>
      <c r="M23" s="37" t="str">
        <f t="shared" si="3"/>
        <v/>
      </c>
    </row>
    <row r="24" ht="15.75" customHeight="1">
      <c r="A24" s="58">
        <v>20.0</v>
      </c>
      <c r="B24" s="75"/>
      <c r="C24" s="75"/>
      <c r="D24" s="75"/>
      <c r="E24" s="75"/>
      <c r="F24" s="75"/>
      <c r="G24" s="75"/>
      <c r="H24" s="75"/>
      <c r="I24" s="31" t="str">
        <f t="shared" si="5"/>
        <v/>
      </c>
      <c r="J24" s="31" t="str">
        <f t="shared" si="6"/>
        <v/>
      </c>
      <c r="K24" s="76"/>
      <c r="L24" s="31" t="str">
        <f t="shared" si="2"/>
        <v/>
      </c>
      <c r="M24" s="33" t="str">
        <f t="shared" si="3"/>
        <v/>
      </c>
    </row>
    <row r="25" ht="15.75" customHeight="1">
      <c r="A25" s="52">
        <v>21.0</v>
      </c>
      <c r="B25" s="71"/>
      <c r="C25" s="71"/>
      <c r="D25" s="71"/>
      <c r="E25" s="71"/>
      <c r="F25" s="71"/>
      <c r="G25" s="71"/>
      <c r="H25" s="71"/>
      <c r="I25" s="35" t="str">
        <f t="shared" si="5"/>
        <v/>
      </c>
      <c r="J25" s="35" t="str">
        <f t="shared" si="6"/>
        <v/>
      </c>
      <c r="K25" s="73"/>
      <c r="L25" s="35" t="str">
        <f t="shared" si="2"/>
        <v/>
      </c>
      <c r="M25" s="37" t="str">
        <f t="shared" si="3"/>
        <v/>
      </c>
    </row>
    <row r="26" ht="15.75" customHeight="1">
      <c r="A26" s="58">
        <v>22.0</v>
      </c>
      <c r="B26" s="75"/>
      <c r="C26" s="75"/>
      <c r="D26" s="75"/>
      <c r="E26" s="75"/>
      <c r="F26" s="75"/>
      <c r="G26" s="75"/>
      <c r="H26" s="75"/>
      <c r="I26" s="31" t="str">
        <f t="shared" si="5"/>
        <v/>
      </c>
      <c r="J26" s="31" t="str">
        <f t="shared" si="6"/>
        <v/>
      </c>
      <c r="K26" s="76"/>
      <c r="L26" s="31" t="str">
        <f t="shared" si="2"/>
        <v/>
      </c>
      <c r="M26" s="33" t="str">
        <f t="shared" si="3"/>
        <v/>
      </c>
    </row>
    <row r="27" ht="15.75" customHeight="1">
      <c r="A27" s="52">
        <v>23.0</v>
      </c>
      <c r="B27" s="71"/>
      <c r="C27" s="71"/>
      <c r="D27" s="71"/>
      <c r="E27" s="71"/>
      <c r="F27" s="71"/>
      <c r="G27" s="71"/>
      <c r="H27" s="71"/>
      <c r="I27" s="35" t="str">
        <f t="shared" si="5"/>
        <v/>
      </c>
      <c r="J27" s="35" t="str">
        <f t="shared" si="6"/>
        <v/>
      </c>
      <c r="K27" s="73"/>
      <c r="L27" s="35" t="str">
        <f t="shared" si="2"/>
        <v/>
      </c>
      <c r="M27" s="37" t="str">
        <f t="shared" si="3"/>
        <v/>
      </c>
    </row>
    <row r="28" ht="15.75" customHeight="1">
      <c r="A28" s="58">
        <v>24.0</v>
      </c>
      <c r="B28" s="75"/>
      <c r="C28" s="75"/>
      <c r="D28" s="75"/>
      <c r="E28" s="75"/>
      <c r="F28" s="75"/>
      <c r="G28" s="75"/>
      <c r="H28" s="75"/>
      <c r="I28" s="31" t="str">
        <f t="shared" si="5"/>
        <v/>
      </c>
      <c r="J28" s="31" t="str">
        <f t="shared" si="6"/>
        <v/>
      </c>
      <c r="K28" s="76"/>
      <c r="L28" s="31" t="str">
        <f t="shared" si="2"/>
        <v/>
      </c>
      <c r="M28" s="33" t="str">
        <f t="shared" si="3"/>
        <v/>
      </c>
    </row>
    <row r="29" ht="15.75" customHeight="1">
      <c r="A29" s="52">
        <v>25.0</v>
      </c>
      <c r="B29" s="71"/>
      <c r="C29" s="71"/>
      <c r="D29" s="71"/>
      <c r="E29" s="71"/>
      <c r="F29" s="71"/>
      <c r="G29" s="71"/>
      <c r="H29" s="71"/>
      <c r="I29" s="35" t="str">
        <f t="shared" si="5"/>
        <v/>
      </c>
      <c r="J29" s="35" t="str">
        <f t="shared" si="6"/>
        <v/>
      </c>
      <c r="K29" s="73"/>
      <c r="L29" s="35" t="str">
        <f t="shared" si="2"/>
        <v/>
      </c>
      <c r="M29" s="37" t="str">
        <f t="shared" si="3"/>
        <v/>
      </c>
    </row>
    <row r="30" ht="15.75" customHeight="1">
      <c r="A30" s="58">
        <v>26.0</v>
      </c>
      <c r="B30" s="75"/>
      <c r="C30" s="75"/>
      <c r="D30" s="75"/>
      <c r="E30" s="75"/>
      <c r="F30" s="75"/>
      <c r="G30" s="75"/>
      <c r="H30" s="75"/>
      <c r="I30" s="31" t="str">
        <f t="shared" si="5"/>
        <v/>
      </c>
      <c r="J30" s="31" t="str">
        <f t="shared" si="6"/>
        <v/>
      </c>
      <c r="K30" s="76"/>
      <c r="L30" s="31" t="str">
        <f t="shared" si="2"/>
        <v/>
      </c>
      <c r="M30" s="33" t="str">
        <f t="shared" si="3"/>
        <v/>
      </c>
    </row>
    <row r="31" ht="15.75" customHeight="1">
      <c r="A31" s="52">
        <v>27.0</v>
      </c>
      <c r="B31" s="71"/>
      <c r="C31" s="71"/>
      <c r="D31" s="71"/>
      <c r="E31" s="71"/>
      <c r="F31" s="71"/>
      <c r="G31" s="71"/>
      <c r="H31" s="71"/>
      <c r="I31" s="35" t="str">
        <f t="shared" si="5"/>
        <v/>
      </c>
      <c r="J31" s="35" t="str">
        <f t="shared" si="6"/>
        <v/>
      </c>
      <c r="K31" s="73"/>
      <c r="L31" s="35" t="str">
        <f t="shared" si="2"/>
        <v/>
      </c>
      <c r="M31" s="37" t="str">
        <f t="shared" si="3"/>
        <v/>
      </c>
    </row>
    <row r="32" ht="15.75" customHeight="1">
      <c r="A32" s="58">
        <v>28.0</v>
      </c>
      <c r="B32" s="75"/>
      <c r="C32" s="75"/>
      <c r="D32" s="75"/>
      <c r="E32" s="75"/>
      <c r="F32" s="75"/>
      <c r="G32" s="75"/>
      <c r="H32" s="75"/>
      <c r="I32" s="31" t="str">
        <f t="shared" si="5"/>
        <v/>
      </c>
      <c r="J32" s="31" t="str">
        <f t="shared" si="6"/>
        <v/>
      </c>
      <c r="K32" s="76"/>
      <c r="L32" s="31" t="str">
        <f t="shared" si="2"/>
        <v/>
      </c>
      <c r="M32" s="33" t="str">
        <f t="shared" si="3"/>
        <v/>
      </c>
    </row>
    <row r="33" ht="15.75" customHeight="1">
      <c r="A33" s="52">
        <v>29.0</v>
      </c>
      <c r="B33" s="71"/>
      <c r="C33" s="71"/>
      <c r="D33" s="71"/>
      <c r="E33" s="71"/>
      <c r="F33" s="71"/>
      <c r="G33" s="71"/>
      <c r="H33" s="71"/>
      <c r="I33" s="35" t="str">
        <f t="shared" si="5"/>
        <v/>
      </c>
      <c r="J33" s="35" t="str">
        <f t="shared" si="6"/>
        <v/>
      </c>
      <c r="K33" s="73"/>
      <c r="L33" s="35" t="str">
        <f t="shared" si="2"/>
        <v/>
      </c>
      <c r="M33" s="37" t="str">
        <f t="shared" si="3"/>
        <v/>
      </c>
    </row>
    <row r="34" ht="15.75" customHeight="1">
      <c r="A34" s="58">
        <v>30.0</v>
      </c>
      <c r="B34" s="75"/>
      <c r="C34" s="75"/>
      <c r="D34" s="75"/>
      <c r="E34" s="75"/>
      <c r="F34" s="75"/>
      <c r="G34" s="75"/>
      <c r="H34" s="75"/>
      <c r="I34" s="31" t="str">
        <f t="shared" si="5"/>
        <v/>
      </c>
      <c r="J34" s="31" t="str">
        <f t="shared" si="6"/>
        <v/>
      </c>
      <c r="K34" s="76"/>
      <c r="L34" s="31" t="str">
        <f t="shared" si="2"/>
        <v/>
      </c>
      <c r="M34" s="33" t="str">
        <f t="shared" si="3"/>
        <v/>
      </c>
    </row>
    <row r="35" ht="15.75" customHeight="1">
      <c r="A35" s="52">
        <v>31.0</v>
      </c>
      <c r="B35" s="71"/>
      <c r="C35" s="71"/>
      <c r="D35" s="71"/>
      <c r="E35" s="71"/>
      <c r="F35" s="71"/>
      <c r="G35" s="71"/>
      <c r="H35" s="71"/>
      <c r="I35" s="35" t="str">
        <f t="shared" si="5"/>
        <v/>
      </c>
      <c r="J35" s="35" t="str">
        <f t="shared" si="6"/>
        <v/>
      </c>
      <c r="K35" s="73"/>
      <c r="L35" s="35" t="str">
        <f t="shared" si="2"/>
        <v/>
      </c>
      <c r="M35" s="37" t="str">
        <f t="shared" si="3"/>
        <v/>
      </c>
    </row>
    <row r="36" ht="15.75" customHeight="1">
      <c r="A36" s="58">
        <v>32.0</v>
      </c>
      <c r="B36" s="75"/>
      <c r="C36" s="75"/>
      <c r="D36" s="75"/>
      <c r="E36" s="75"/>
      <c r="F36" s="75"/>
      <c r="G36" s="75"/>
      <c r="H36" s="75"/>
      <c r="I36" s="31" t="str">
        <f t="shared" si="5"/>
        <v/>
      </c>
      <c r="J36" s="31" t="str">
        <f t="shared" si="6"/>
        <v/>
      </c>
      <c r="K36" s="76"/>
      <c r="L36" s="31" t="str">
        <f t="shared" si="2"/>
        <v/>
      </c>
      <c r="M36" s="33" t="str">
        <f t="shared" si="3"/>
        <v/>
      </c>
    </row>
    <row r="37" ht="15.75" customHeight="1">
      <c r="A37" s="52">
        <v>33.0</v>
      </c>
      <c r="B37" s="71"/>
      <c r="C37" s="71"/>
      <c r="D37" s="71"/>
      <c r="E37" s="71"/>
      <c r="F37" s="71"/>
      <c r="G37" s="71"/>
      <c r="H37" s="71"/>
      <c r="I37" s="35" t="str">
        <f t="shared" si="5"/>
        <v/>
      </c>
      <c r="J37" s="35" t="str">
        <f t="shared" si="6"/>
        <v/>
      </c>
      <c r="K37" s="73"/>
      <c r="L37" s="35" t="str">
        <f t="shared" si="2"/>
        <v/>
      </c>
      <c r="M37" s="37" t="str">
        <f t="shared" si="3"/>
        <v/>
      </c>
    </row>
    <row r="38" ht="15.75" customHeight="1">
      <c r="A38" s="58">
        <v>34.0</v>
      </c>
      <c r="B38" s="75"/>
      <c r="C38" s="75"/>
      <c r="D38" s="75"/>
      <c r="E38" s="75"/>
      <c r="F38" s="75"/>
      <c r="G38" s="75"/>
      <c r="H38" s="75"/>
      <c r="I38" s="31" t="str">
        <f t="shared" si="5"/>
        <v/>
      </c>
      <c r="J38" s="31" t="str">
        <f t="shared" si="6"/>
        <v/>
      </c>
      <c r="K38" s="76"/>
      <c r="L38" s="31" t="str">
        <f t="shared" si="2"/>
        <v/>
      </c>
      <c r="M38" s="33" t="str">
        <f t="shared" si="3"/>
        <v/>
      </c>
    </row>
    <row r="39" ht="15.75" customHeight="1">
      <c r="A39" s="52">
        <v>35.0</v>
      </c>
      <c r="B39" s="71"/>
      <c r="C39" s="71"/>
      <c r="D39" s="71"/>
      <c r="E39" s="71"/>
      <c r="F39" s="71"/>
      <c r="G39" s="71"/>
      <c r="H39" s="71"/>
      <c r="I39" s="35" t="str">
        <f t="shared" si="5"/>
        <v/>
      </c>
      <c r="J39" s="35" t="str">
        <f t="shared" si="6"/>
        <v/>
      </c>
      <c r="K39" s="73"/>
      <c r="L39" s="35" t="str">
        <f t="shared" si="2"/>
        <v/>
      </c>
      <c r="M39" s="37" t="str">
        <f t="shared" si="3"/>
        <v/>
      </c>
    </row>
    <row r="40" ht="15.75" customHeight="1">
      <c r="A40" s="58">
        <v>36.0</v>
      </c>
      <c r="B40" s="75"/>
      <c r="C40" s="75"/>
      <c r="D40" s="75"/>
      <c r="E40" s="75"/>
      <c r="F40" s="75"/>
      <c r="G40" s="75"/>
      <c r="H40" s="75"/>
      <c r="I40" s="31" t="str">
        <f t="shared" si="5"/>
        <v/>
      </c>
      <c r="J40" s="31" t="str">
        <f t="shared" si="6"/>
        <v/>
      </c>
      <c r="K40" s="76"/>
      <c r="L40" s="31" t="str">
        <f t="shared" si="2"/>
        <v/>
      </c>
      <c r="M40" s="33" t="str">
        <f t="shared" si="3"/>
        <v/>
      </c>
    </row>
    <row r="41" ht="15.75" customHeight="1">
      <c r="A41" s="52">
        <v>37.0</v>
      </c>
      <c r="B41" s="71"/>
      <c r="C41" s="71"/>
      <c r="D41" s="71"/>
      <c r="E41" s="71"/>
      <c r="F41" s="71"/>
      <c r="G41" s="71"/>
      <c r="H41" s="71"/>
      <c r="I41" s="35" t="str">
        <f t="shared" si="5"/>
        <v/>
      </c>
      <c r="J41" s="35" t="str">
        <f t="shared" si="6"/>
        <v/>
      </c>
      <c r="K41" s="73"/>
      <c r="L41" s="35" t="str">
        <f t="shared" si="2"/>
        <v/>
      </c>
      <c r="M41" s="37" t="str">
        <f t="shared" si="3"/>
        <v/>
      </c>
    </row>
    <row r="42" ht="15.75" customHeight="1">
      <c r="A42" s="58">
        <v>38.0</v>
      </c>
      <c r="B42" s="75"/>
      <c r="C42" s="75"/>
      <c r="D42" s="75"/>
      <c r="E42" s="75"/>
      <c r="F42" s="75"/>
      <c r="G42" s="75"/>
      <c r="H42" s="75"/>
      <c r="I42" s="31" t="str">
        <f t="shared" si="5"/>
        <v/>
      </c>
      <c r="J42" s="31" t="str">
        <f t="shared" si="6"/>
        <v/>
      </c>
      <c r="K42" s="76"/>
      <c r="L42" s="31" t="str">
        <f t="shared" si="2"/>
        <v/>
      </c>
      <c r="M42" s="33" t="str">
        <f t="shared" si="3"/>
        <v/>
      </c>
    </row>
    <row r="43" ht="15.75" customHeight="1">
      <c r="A43" s="52">
        <v>39.0</v>
      </c>
      <c r="B43" s="71"/>
      <c r="C43" s="71"/>
      <c r="D43" s="71"/>
      <c r="E43" s="71"/>
      <c r="F43" s="71"/>
      <c r="G43" s="71"/>
      <c r="H43" s="71"/>
      <c r="I43" s="35" t="str">
        <f t="shared" si="5"/>
        <v/>
      </c>
      <c r="J43" s="35" t="str">
        <f t="shared" si="6"/>
        <v/>
      </c>
      <c r="K43" s="73"/>
      <c r="L43" s="35" t="str">
        <f t="shared" si="2"/>
        <v/>
      </c>
      <c r="M43" s="37" t="str">
        <f t="shared" si="3"/>
        <v/>
      </c>
    </row>
    <row r="44" ht="15.75" customHeight="1">
      <c r="A44" s="58">
        <v>40.0</v>
      </c>
      <c r="B44" s="75"/>
      <c r="C44" s="75"/>
      <c r="D44" s="75"/>
      <c r="E44" s="75"/>
      <c r="F44" s="75"/>
      <c r="G44" s="75"/>
      <c r="H44" s="75"/>
      <c r="I44" s="31" t="str">
        <f t="shared" si="5"/>
        <v/>
      </c>
      <c r="J44" s="31" t="str">
        <f t="shared" si="6"/>
        <v/>
      </c>
      <c r="K44" s="76"/>
      <c r="L44" s="31" t="str">
        <f t="shared" si="2"/>
        <v/>
      </c>
      <c r="M44" s="33" t="str">
        <f t="shared" si="3"/>
        <v/>
      </c>
    </row>
    <row r="45" ht="15.75" customHeight="1">
      <c r="A45" s="52">
        <v>41.0</v>
      </c>
      <c r="B45" s="71"/>
      <c r="C45" s="71"/>
      <c r="D45" s="71"/>
      <c r="E45" s="71"/>
      <c r="F45" s="71"/>
      <c r="G45" s="71"/>
      <c r="H45" s="71"/>
      <c r="I45" s="35" t="str">
        <f t="shared" si="5"/>
        <v/>
      </c>
      <c r="J45" s="35" t="str">
        <f t="shared" si="6"/>
        <v/>
      </c>
      <c r="K45" s="73"/>
      <c r="L45" s="35" t="str">
        <f t="shared" si="2"/>
        <v/>
      </c>
      <c r="M45" s="37" t="str">
        <f t="shared" si="3"/>
        <v/>
      </c>
    </row>
    <row r="46" ht="15.75" customHeight="1">
      <c r="A46" s="58">
        <v>42.0</v>
      </c>
      <c r="B46" s="75"/>
      <c r="C46" s="75"/>
      <c r="D46" s="75"/>
      <c r="E46" s="75"/>
      <c r="F46" s="75"/>
      <c r="G46" s="75"/>
      <c r="H46" s="75"/>
      <c r="I46" s="31" t="str">
        <f t="shared" si="5"/>
        <v/>
      </c>
      <c r="J46" s="31" t="str">
        <f t="shared" si="6"/>
        <v/>
      </c>
      <c r="K46" s="76"/>
      <c r="L46" s="31" t="str">
        <f t="shared" si="2"/>
        <v/>
      </c>
      <c r="M46" s="33" t="str">
        <f t="shared" si="3"/>
        <v/>
      </c>
    </row>
    <row r="47" ht="15.75" customHeight="1">
      <c r="A47" s="52">
        <v>43.0</v>
      </c>
      <c r="B47" s="71"/>
      <c r="C47" s="71"/>
      <c r="D47" s="71"/>
      <c r="E47" s="71"/>
      <c r="F47" s="71"/>
      <c r="G47" s="71"/>
      <c r="H47" s="71"/>
      <c r="I47" s="35" t="str">
        <f t="shared" si="5"/>
        <v/>
      </c>
      <c r="J47" s="35" t="str">
        <f t="shared" si="6"/>
        <v/>
      </c>
      <c r="K47" s="73"/>
      <c r="L47" s="35" t="str">
        <f t="shared" si="2"/>
        <v/>
      </c>
      <c r="M47" s="37" t="str">
        <f t="shared" si="3"/>
        <v/>
      </c>
    </row>
    <row r="48" ht="15.75" customHeight="1">
      <c r="A48" s="58">
        <v>44.0</v>
      </c>
      <c r="B48" s="75"/>
      <c r="C48" s="75"/>
      <c r="D48" s="75"/>
      <c r="E48" s="75"/>
      <c r="F48" s="75"/>
      <c r="G48" s="75"/>
      <c r="H48" s="75"/>
      <c r="I48" s="31" t="str">
        <f t="shared" si="5"/>
        <v/>
      </c>
      <c r="J48" s="31" t="str">
        <f t="shared" si="6"/>
        <v/>
      </c>
      <c r="K48" s="76"/>
      <c r="L48" s="31" t="str">
        <f t="shared" si="2"/>
        <v/>
      </c>
      <c r="M48" s="33" t="str">
        <f t="shared" si="3"/>
        <v/>
      </c>
    </row>
    <row r="49" ht="15.75" customHeight="1">
      <c r="A49" s="52">
        <v>45.0</v>
      </c>
      <c r="B49" s="71"/>
      <c r="C49" s="71"/>
      <c r="D49" s="71"/>
      <c r="E49" s="71"/>
      <c r="F49" s="71"/>
      <c r="G49" s="71"/>
      <c r="H49" s="71"/>
      <c r="I49" s="35" t="str">
        <f t="shared" si="5"/>
        <v/>
      </c>
      <c r="J49" s="35" t="str">
        <f t="shared" si="6"/>
        <v/>
      </c>
      <c r="K49" s="73"/>
      <c r="L49" s="35" t="str">
        <f t="shared" si="2"/>
        <v/>
      </c>
      <c r="M49" s="37" t="str">
        <f t="shared" si="3"/>
        <v/>
      </c>
    </row>
    <row r="50" ht="15.75" customHeight="1">
      <c r="A50" s="58">
        <v>46.0</v>
      </c>
      <c r="B50" s="75"/>
      <c r="C50" s="75"/>
      <c r="D50" s="75"/>
      <c r="E50" s="75"/>
      <c r="F50" s="75"/>
      <c r="G50" s="75"/>
      <c r="H50" s="75"/>
      <c r="I50" s="31" t="str">
        <f t="shared" si="5"/>
        <v/>
      </c>
      <c r="J50" s="31" t="str">
        <f t="shared" si="6"/>
        <v/>
      </c>
      <c r="K50" s="76"/>
      <c r="L50" s="31" t="str">
        <f t="shared" si="2"/>
        <v/>
      </c>
      <c r="M50" s="33" t="str">
        <f t="shared" si="3"/>
        <v/>
      </c>
    </row>
    <row r="51" ht="15.75" customHeight="1">
      <c r="A51" s="52">
        <v>47.0</v>
      </c>
      <c r="B51" s="71"/>
      <c r="C51" s="71"/>
      <c r="D51" s="71"/>
      <c r="E51" s="71"/>
      <c r="F51" s="71"/>
      <c r="G51" s="71"/>
      <c r="H51" s="71"/>
      <c r="I51" s="35" t="str">
        <f t="shared" si="5"/>
        <v/>
      </c>
      <c r="J51" s="35" t="str">
        <f t="shared" si="6"/>
        <v/>
      </c>
      <c r="K51" s="73"/>
      <c r="L51" s="35" t="str">
        <f t="shared" si="2"/>
        <v/>
      </c>
      <c r="M51" s="37" t="str">
        <f t="shared" si="3"/>
        <v/>
      </c>
    </row>
    <row r="52" ht="15.75" customHeight="1">
      <c r="A52" s="58">
        <v>48.0</v>
      </c>
      <c r="B52" s="75"/>
      <c r="C52" s="75"/>
      <c r="D52" s="75"/>
      <c r="E52" s="75"/>
      <c r="F52" s="75"/>
      <c r="G52" s="75"/>
      <c r="H52" s="75"/>
      <c r="I52" s="31" t="str">
        <f t="shared" si="5"/>
        <v/>
      </c>
      <c r="J52" s="31" t="str">
        <f t="shared" si="6"/>
        <v/>
      </c>
      <c r="K52" s="76"/>
      <c r="L52" s="31" t="str">
        <f t="shared" si="2"/>
        <v/>
      </c>
      <c r="M52" s="33" t="str">
        <f t="shared" si="3"/>
        <v/>
      </c>
    </row>
    <row r="53" ht="15.75" customHeight="1">
      <c r="A53" s="52">
        <v>49.0</v>
      </c>
      <c r="B53" s="71"/>
      <c r="C53" s="71"/>
      <c r="D53" s="71"/>
      <c r="E53" s="71"/>
      <c r="F53" s="71"/>
      <c r="G53" s="71"/>
      <c r="H53" s="71"/>
      <c r="I53" s="35" t="str">
        <f t="shared" si="5"/>
        <v/>
      </c>
      <c r="J53" s="35" t="str">
        <f t="shared" si="6"/>
        <v/>
      </c>
      <c r="K53" s="73"/>
      <c r="L53" s="35" t="str">
        <f t="shared" si="2"/>
        <v/>
      </c>
      <c r="M53" s="37" t="str">
        <f t="shared" si="3"/>
        <v/>
      </c>
    </row>
    <row r="54" ht="15.75" customHeight="1">
      <c r="A54" s="58">
        <v>50.0</v>
      </c>
      <c r="B54" s="75"/>
      <c r="C54" s="75"/>
      <c r="D54" s="75"/>
      <c r="E54" s="75"/>
      <c r="F54" s="75"/>
      <c r="G54" s="75"/>
      <c r="H54" s="75"/>
      <c r="I54" s="31" t="str">
        <f t="shared" si="5"/>
        <v/>
      </c>
      <c r="J54" s="31" t="str">
        <f t="shared" si="6"/>
        <v/>
      </c>
      <c r="K54" s="76"/>
      <c r="L54" s="31" t="str">
        <f t="shared" si="2"/>
        <v/>
      </c>
      <c r="M54" s="33" t="str">
        <f t="shared" si="3"/>
        <v/>
      </c>
    </row>
    <row r="55" ht="21.75" customHeight="1">
      <c r="A55" s="78" t="s">
        <v>73</v>
      </c>
      <c r="B55" s="79"/>
      <c r="C55" s="79"/>
      <c r="D55" s="79"/>
      <c r="E55" s="79"/>
      <c r="F55" s="79"/>
      <c r="G55" s="79"/>
      <c r="H55" s="79"/>
      <c r="I55" s="80"/>
      <c r="J55" s="81">
        <f t="shared" ref="J55:L55" si="7">SUM(J5:J54)</f>
        <v>56440</v>
      </c>
      <c r="K55" s="81">
        <f t="shared" si="7"/>
        <v>0</v>
      </c>
      <c r="L55" s="81">
        <f t="shared" si="7"/>
        <v>56440</v>
      </c>
      <c r="M55" s="82"/>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M1"/>
    <mergeCell ref="A2:M2"/>
    <mergeCell ref="F3:M3"/>
    <mergeCell ref="A55:I55"/>
  </mergeCells>
  <conditionalFormatting sqref="M5:M54">
    <cfRule type="containsText" dxfId="0" priority="1" operator="containsText" text="Paid">
      <formula>NOT(ISERROR(SEARCH(("Paid"),(M5))))</formula>
    </cfRule>
  </conditionalFormatting>
  <conditionalFormatting sqref="M5:M54">
    <cfRule type="containsText" dxfId="1" priority="2" operator="containsText" text="Unpaid">
      <formula>NOT(ISERROR(SEARCH(("Unpaid"),(M5))))</formula>
    </cfRule>
  </conditionalFormatting>
  <conditionalFormatting sqref="M5:M54">
    <cfRule type="containsText" dxfId="2" priority="3" operator="containsText" text="Partial">
      <formula>NOT(ISERROR(SEARCH(("Partial"),(M5))))</formula>
    </cfRule>
  </conditionalFormatting>
  <dataValidations>
    <dataValidation type="list" allowBlank="1" sqref="M5:M54">
      <formula1>"Paid,Unpaid,Partial"</formula1>
    </dataValidation>
    <dataValidation type="list" allowBlank="1" sqref="B5:B54">
      <formula1>"January,February,March,April,May,June,July,August,September,October,November,December"</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8.0"/>
    <col customWidth="1" min="3" max="3" width="14.0"/>
    <col customWidth="1" min="4" max="4" width="16.29"/>
    <col customWidth="1" min="5" max="5" width="32.0"/>
    <col customWidth="1" min="6" max="6" width="14.0"/>
    <col customWidth="1" min="7" max="7" width="114.0"/>
    <col customWidth="1" min="8" max="26" width="8.71"/>
  </cols>
  <sheetData>
    <row r="1" ht="37.5" customHeight="1">
      <c r="A1" s="83" t="s">
        <v>92</v>
      </c>
      <c r="B1" s="2"/>
      <c r="C1" s="2"/>
      <c r="D1" s="2"/>
      <c r="E1" s="2"/>
      <c r="F1" s="2"/>
      <c r="G1" s="3"/>
    </row>
    <row r="2" ht="18.0" customHeight="1">
      <c r="A2" s="46" t="s">
        <v>93</v>
      </c>
      <c r="B2" s="2"/>
      <c r="C2" s="2"/>
      <c r="D2" s="2"/>
      <c r="E2" s="2"/>
      <c r="F2" s="2"/>
      <c r="G2" s="3"/>
    </row>
    <row r="3" ht="7.5" customHeight="1"/>
    <row r="4" ht="31.5" customHeight="1">
      <c r="A4" s="23" t="s">
        <v>60</v>
      </c>
      <c r="B4" s="23" t="s">
        <v>26</v>
      </c>
      <c r="C4" s="23" t="s">
        <v>94</v>
      </c>
      <c r="D4" s="23" t="s">
        <v>95</v>
      </c>
      <c r="E4" s="23" t="s">
        <v>96</v>
      </c>
      <c r="F4" s="23" t="s">
        <v>97</v>
      </c>
      <c r="G4" s="23" t="s">
        <v>98</v>
      </c>
    </row>
    <row r="5">
      <c r="A5" s="52">
        <v>1.0</v>
      </c>
      <c r="B5" s="57" t="s">
        <v>37</v>
      </c>
      <c r="C5" s="84">
        <v>30.0</v>
      </c>
      <c r="D5" s="57" t="s">
        <v>99</v>
      </c>
      <c r="E5" s="57"/>
      <c r="F5" s="31"/>
      <c r="G5" s="57"/>
    </row>
    <row r="6">
      <c r="A6" s="58">
        <v>2.0</v>
      </c>
      <c r="B6" s="59" t="s">
        <v>3</v>
      </c>
      <c r="C6" s="85">
        <v>30.0</v>
      </c>
      <c r="D6" s="59" t="s">
        <v>100</v>
      </c>
      <c r="E6" s="60"/>
      <c r="F6" s="86"/>
      <c r="G6" s="60"/>
    </row>
    <row r="7">
      <c r="A7" s="52">
        <v>3.0</v>
      </c>
      <c r="B7" s="53" t="s">
        <v>3</v>
      </c>
      <c r="C7" s="87"/>
      <c r="D7" s="53" t="s">
        <v>101</v>
      </c>
      <c r="E7" s="57"/>
      <c r="F7" s="77">
        <v>1500.0</v>
      </c>
      <c r="G7" s="57"/>
    </row>
    <row r="8">
      <c r="A8" s="58">
        <v>4.0</v>
      </c>
      <c r="B8" s="59" t="s">
        <v>3</v>
      </c>
      <c r="C8" s="88"/>
      <c r="D8" s="59" t="s">
        <v>99</v>
      </c>
      <c r="E8" s="60"/>
      <c r="F8" s="86">
        <v>900.0</v>
      </c>
      <c r="G8" s="60"/>
    </row>
    <row r="9">
      <c r="A9" s="52">
        <v>5.0</v>
      </c>
      <c r="B9" s="53" t="s">
        <v>3</v>
      </c>
      <c r="C9" s="87"/>
      <c r="D9" s="53" t="s">
        <v>99</v>
      </c>
      <c r="E9" s="57"/>
      <c r="F9" s="77">
        <v>850.0</v>
      </c>
      <c r="G9" s="57"/>
    </row>
    <row r="10">
      <c r="A10" s="58">
        <v>6.0</v>
      </c>
      <c r="B10" s="59" t="s">
        <v>3</v>
      </c>
      <c r="C10" s="88"/>
      <c r="D10" s="59" t="s">
        <v>99</v>
      </c>
      <c r="E10" s="60"/>
      <c r="F10" s="86">
        <v>1500.0</v>
      </c>
      <c r="G10" s="60"/>
    </row>
    <row r="11">
      <c r="A11" s="52">
        <v>7.0</v>
      </c>
      <c r="B11" s="53" t="s">
        <v>3</v>
      </c>
      <c r="C11" s="87"/>
      <c r="D11" s="57"/>
      <c r="E11" s="57"/>
      <c r="F11" s="77"/>
      <c r="G11" s="53"/>
    </row>
    <row r="12">
      <c r="A12" s="58">
        <v>8.0</v>
      </c>
      <c r="B12" s="59" t="s">
        <v>3</v>
      </c>
      <c r="C12" s="88"/>
      <c r="D12" s="60"/>
      <c r="E12" s="60"/>
      <c r="F12" s="86">
        <v>850.0</v>
      </c>
      <c r="G12" s="59"/>
    </row>
    <row r="13">
      <c r="A13" s="52">
        <v>9.0</v>
      </c>
      <c r="B13" s="53" t="s">
        <v>3</v>
      </c>
      <c r="C13" s="87"/>
      <c r="D13" s="53" t="s">
        <v>99</v>
      </c>
      <c r="E13" s="57"/>
      <c r="F13" s="77">
        <v>500.0</v>
      </c>
      <c r="G13" s="53"/>
    </row>
    <row r="14">
      <c r="A14" s="58">
        <v>10.0</v>
      </c>
      <c r="B14" s="59" t="s">
        <v>3</v>
      </c>
      <c r="C14" s="85">
        <v>13.0</v>
      </c>
      <c r="D14" s="59" t="s">
        <v>99</v>
      </c>
      <c r="F14" s="86">
        <v>1220.0</v>
      </c>
      <c r="G14" s="89" t="s">
        <v>102</v>
      </c>
    </row>
    <row r="15">
      <c r="A15" s="52">
        <v>11.0</v>
      </c>
      <c r="B15" s="53" t="s">
        <v>3</v>
      </c>
      <c r="C15" s="87"/>
      <c r="D15" s="53" t="s">
        <v>99</v>
      </c>
      <c r="E15" s="57"/>
      <c r="F15" s="77">
        <v>500.0</v>
      </c>
      <c r="G15" s="53" t="s">
        <v>103</v>
      </c>
    </row>
    <row r="16">
      <c r="A16" s="58">
        <v>12.0</v>
      </c>
      <c r="B16" s="59" t="s">
        <v>3</v>
      </c>
      <c r="C16" s="88"/>
      <c r="D16" s="59" t="s">
        <v>104</v>
      </c>
      <c r="E16" s="60"/>
      <c r="F16" s="86">
        <v>2000.0</v>
      </c>
      <c r="G16" s="59" t="s">
        <v>105</v>
      </c>
    </row>
    <row r="17">
      <c r="A17" s="52">
        <v>13.0</v>
      </c>
      <c r="B17" s="53" t="s">
        <v>3</v>
      </c>
      <c r="C17" s="87"/>
      <c r="D17" s="53" t="s">
        <v>99</v>
      </c>
      <c r="E17" s="57"/>
      <c r="F17" s="77">
        <v>500.0</v>
      </c>
      <c r="G17" s="57"/>
    </row>
    <row r="18">
      <c r="A18" s="58">
        <v>14.0</v>
      </c>
      <c r="B18" s="59" t="s">
        <v>3</v>
      </c>
      <c r="C18" s="88"/>
      <c r="D18" s="59" t="s">
        <v>99</v>
      </c>
      <c r="E18" s="60"/>
      <c r="F18" s="86">
        <v>500.0</v>
      </c>
      <c r="G18" s="59" t="s">
        <v>106</v>
      </c>
    </row>
    <row r="19">
      <c r="A19" s="52">
        <v>15.0</v>
      </c>
      <c r="B19" s="57"/>
      <c r="C19" s="87"/>
      <c r="D19" s="53" t="s">
        <v>99</v>
      </c>
      <c r="E19" s="57"/>
      <c r="F19" s="77">
        <v>1000.0</v>
      </c>
      <c r="G19" s="53" t="s">
        <v>107</v>
      </c>
    </row>
    <row r="20">
      <c r="A20" s="58">
        <v>16.0</v>
      </c>
      <c r="B20" s="59" t="s">
        <v>3</v>
      </c>
      <c r="C20" s="85">
        <v>20.0</v>
      </c>
      <c r="D20" s="60"/>
      <c r="E20" s="59"/>
      <c r="F20" s="86">
        <v>1400.0</v>
      </c>
      <c r="G20" s="59" t="s">
        <v>108</v>
      </c>
    </row>
    <row r="21" ht="15.75" customHeight="1">
      <c r="A21" s="52">
        <v>17.0</v>
      </c>
      <c r="B21" s="53" t="s">
        <v>3</v>
      </c>
      <c r="C21" s="84">
        <v>19.0</v>
      </c>
      <c r="D21" s="53" t="s">
        <v>99</v>
      </c>
      <c r="E21" s="57"/>
      <c r="F21" s="77">
        <v>350.0</v>
      </c>
      <c r="G21" s="53" t="s">
        <v>109</v>
      </c>
    </row>
    <row r="22" ht="15.75" customHeight="1">
      <c r="A22" s="58">
        <v>18.0</v>
      </c>
      <c r="B22" s="59" t="s">
        <v>3</v>
      </c>
      <c r="C22" s="85">
        <v>21.0</v>
      </c>
      <c r="D22" s="59" t="s">
        <v>99</v>
      </c>
      <c r="E22" s="60"/>
      <c r="F22" s="86">
        <v>1200.0</v>
      </c>
      <c r="G22" s="59" t="s">
        <v>110</v>
      </c>
    </row>
    <row r="23" ht="15.75" customHeight="1">
      <c r="A23" s="52">
        <v>19.0</v>
      </c>
      <c r="B23" s="57"/>
      <c r="C23" s="87"/>
      <c r="D23" s="57"/>
      <c r="E23" s="57"/>
      <c r="F23" s="31"/>
      <c r="G23" s="57"/>
    </row>
    <row r="24" ht="15.75" customHeight="1">
      <c r="A24" s="58">
        <v>20.0</v>
      </c>
      <c r="B24" s="60"/>
      <c r="C24" s="88"/>
      <c r="D24" s="60"/>
      <c r="E24" s="60"/>
      <c r="F24" s="90"/>
      <c r="G24" s="60"/>
    </row>
    <row r="25" ht="15.75" customHeight="1">
      <c r="A25" s="52">
        <v>21.0</v>
      </c>
      <c r="B25" s="57"/>
      <c r="C25" s="87"/>
      <c r="D25" s="57"/>
      <c r="E25" s="57"/>
      <c r="F25" s="31"/>
      <c r="G25" s="57"/>
    </row>
    <row r="26" ht="15.75" customHeight="1">
      <c r="A26" s="58">
        <v>22.0</v>
      </c>
      <c r="B26" s="60"/>
      <c r="C26" s="88"/>
      <c r="D26" s="60"/>
      <c r="E26" s="60"/>
      <c r="F26" s="90"/>
      <c r="G26" s="60"/>
    </row>
    <row r="27" ht="15.75" customHeight="1">
      <c r="A27" s="52">
        <v>23.0</v>
      </c>
      <c r="B27" s="57"/>
      <c r="C27" s="87"/>
      <c r="D27" s="57"/>
      <c r="E27" s="57"/>
      <c r="F27" s="31"/>
      <c r="G27" s="57"/>
    </row>
    <row r="28" ht="15.75" customHeight="1">
      <c r="A28" s="58">
        <v>24.0</v>
      </c>
      <c r="B28" s="60"/>
      <c r="C28" s="88"/>
      <c r="D28" s="60"/>
      <c r="E28" s="60"/>
      <c r="F28" s="90"/>
      <c r="G28" s="60"/>
    </row>
    <row r="29" ht="15.75" customHeight="1">
      <c r="A29" s="52">
        <v>25.0</v>
      </c>
      <c r="B29" s="57"/>
      <c r="C29" s="87"/>
      <c r="D29" s="57"/>
      <c r="E29" s="57"/>
      <c r="F29" s="31"/>
      <c r="G29" s="57"/>
    </row>
    <row r="30" ht="15.75" customHeight="1">
      <c r="A30" s="58">
        <v>26.0</v>
      </c>
      <c r="B30" s="60"/>
      <c r="C30" s="88"/>
      <c r="D30" s="60"/>
      <c r="E30" s="60"/>
      <c r="F30" s="90"/>
      <c r="G30" s="60"/>
    </row>
    <row r="31" ht="15.75" customHeight="1">
      <c r="A31" s="52">
        <v>27.0</v>
      </c>
      <c r="B31" s="57"/>
      <c r="C31" s="87"/>
      <c r="D31" s="57"/>
      <c r="E31" s="57"/>
      <c r="F31" s="31"/>
      <c r="G31" s="57"/>
    </row>
    <row r="32" ht="15.75" customHeight="1">
      <c r="A32" s="58">
        <v>28.0</v>
      </c>
      <c r="B32" s="60"/>
      <c r="C32" s="88"/>
      <c r="D32" s="60"/>
      <c r="E32" s="60"/>
      <c r="F32" s="90"/>
      <c r="G32" s="60"/>
    </row>
    <row r="33" ht="15.75" customHeight="1">
      <c r="A33" s="52">
        <v>29.0</v>
      </c>
      <c r="B33" s="57"/>
      <c r="C33" s="87"/>
      <c r="D33" s="57"/>
      <c r="E33" s="57"/>
      <c r="F33" s="31"/>
      <c r="G33" s="57"/>
    </row>
    <row r="34" ht="15.75" customHeight="1">
      <c r="A34" s="58">
        <v>30.0</v>
      </c>
      <c r="B34" s="60"/>
      <c r="C34" s="88"/>
      <c r="D34" s="60"/>
      <c r="E34" s="60"/>
      <c r="F34" s="90"/>
      <c r="G34" s="60"/>
    </row>
    <row r="35" ht="15.75" customHeight="1">
      <c r="A35" s="52">
        <v>31.0</v>
      </c>
      <c r="B35" s="57"/>
      <c r="C35" s="87"/>
      <c r="D35" s="57"/>
      <c r="E35" s="57"/>
      <c r="F35" s="31"/>
      <c r="G35" s="57"/>
    </row>
    <row r="36" ht="15.75" customHeight="1">
      <c r="A36" s="58">
        <v>32.0</v>
      </c>
      <c r="B36" s="60"/>
      <c r="C36" s="88"/>
      <c r="D36" s="60"/>
      <c r="E36" s="60"/>
      <c r="F36" s="90"/>
      <c r="G36" s="60"/>
    </row>
    <row r="37" ht="15.75" customHeight="1">
      <c r="A37" s="52">
        <v>33.0</v>
      </c>
      <c r="B37" s="57"/>
      <c r="C37" s="87"/>
      <c r="D37" s="57"/>
      <c r="E37" s="57"/>
      <c r="F37" s="31"/>
      <c r="G37" s="57"/>
    </row>
    <row r="38" ht="15.75" customHeight="1">
      <c r="A38" s="58">
        <v>34.0</v>
      </c>
      <c r="B38" s="60"/>
      <c r="C38" s="88"/>
      <c r="D38" s="60"/>
      <c r="E38" s="60"/>
      <c r="F38" s="90"/>
      <c r="G38" s="60"/>
    </row>
    <row r="39" ht="15.75" customHeight="1">
      <c r="A39" s="52">
        <v>35.0</v>
      </c>
      <c r="B39" s="57"/>
      <c r="C39" s="87"/>
      <c r="D39" s="57"/>
      <c r="E39" s="57"/>
      <c r="F39" s="31"/>
      <c r="G39" s="57"/>
    </row>
    <row r="40" ht="15.75" customHeight="1">
      <c r="A40" s="58">
        <v>36.0</v>
      </c>
      <c r="B40" s="60"/>
      <c r="C40" s="88"/>
      <c r="D40" s="60"/>
      <c r="E40" s="60"/>
      <c r="F40" s="90"/>
      <c r="G40" s="60"/>
    </row>
    <row r="41" ht="15.75" customHeight="1">
      <c r="A41" s="52">
        <v>37.0</v>
      </c>
      <c r="B41" s="57"/>
      <c r="C41" s="87"/>
      <c r="D41" s="57"/>
      <c r="E41" s="57"/>
      <c r="F41" s="31"/>
      <c r="G41" s="57"/>
    </row>
    <row r="42" ht="15.75" customHeight="1">
      <c r="A42" s="58">
        <v>38.0</v>
      </c>
      <c r="B42" s="60"/>
      <c r="C42" s="88"/>
      <c r="D42" s="60"/>
      <c r="E42" s="60"/>
      <c r="F42" s="90"/>
      <c r="G42" s="60"/>
    </row>
    <row r="43" ht="15.75" customHeight="1">
      <c r="A43" s="52">
        <v>39.0</v>
      </c>
      <c r="B43" s="57"/>
      <c r="C43" s="87"/>
      <c r="D43" s="57"/>
      <c r="E43" s="57"/>
      <c r="F43" s="31"/>
      <c r="G43" s="57"/>
    </row>
    <row r="44" ht="15.75" customHeight="1">
      <c r="A44" s="58">
        <v>40.0</v>
      </c>
      <c r="B44" s="60"/>
      <c r="C44" s="88"/>
      <c r="D44" s="60"/>
      <c r="E44" s="60"/>
      <c r="F44" s="90"/>
      <c r="G44" s="60"/>
    </row>
    <row r="45" ht="15.75" customHeight="1">
      <c r="A45" s="52">
        <v>41.0</v>
      </c>
      <c r="B45" s="57"/>
      <c r="C45" s="87"/>
      <c r="D45" s="57"/>
      <c r="E45" s="57"/>
      <c r="F45" s="31"/>
      <c r="G45" s="57"/>
    </row>
    <row r="46" ht="15.75" customHeight="1">
      <c r="A46" s="58">
        <v>42.0</v>
      </c>
      <c r="B46" s="60"/>
      <c r="C46" s="88"/>
      <c r="D46" s="60"/>
      <c r="E46" s="60"/>
      <c r="F46" s="90"/>
      <c r="G46" s="60"/>
    </row>
    <row r="47" ht="15.75" customHeight="1">
      <c r="A47" s="52">
        <v>43.0</v>
      </c>
      <c r="B47" s="57"/>
      <c r="C47" s="87"/>
      <c r="D47" s="57"/>
      <c r="E47" s="57"/>
      <c r="F47" s="31"/>
      <c r="G47" s="57"/>
    </row>
    <row r="48" ht="15.75" customHeight="1">
      <c r="A48" s="58">
        <v>44.0</v>
      </c>
      <c r="B48" s="60"/>
      <c r="C48" s="88"/>
      <c r="D48" s="60"/>
      <c r="E48" s="60"/>
      <c r="F48" s="90"/>
      <c r="G48" s="60"/>
    </row>
    <row r="49" ht="15.75" customHeight="1">
      <c r="A49" s="52">
        <v>45.0</v>
      </c>
      <c r="B49" s="57"/>
      <c r="C49" s="87"/>
      <c r="D49" s="57"/>
      <c r="E49" s="57"/>
      <c r="F49" s="31"/>
      <c r="G49" s="57"/>
    </row>
    <row r="50" ht="15.75" customHeight="1">
      <c r="A50" s="58">
        <v>46.0</v>
      </c>
      <c r="B50" s="60"/>
      <c r="C50" s="88"/>
      <c r="D50" s="60"/>
      <c r="E50" s="60"/>
      <c r="F50" s="90"/>
      <c r="G50" s="60"/>
    </row>
    <row r="51" ht="15.75" customHeight="1">
      <c r="A51" s="52">
        <v>47.0</v>
      </c>
      <c r="B51" s="57"/>
      <c r="C51" s="87"/>
      <c r="D51" s="57"/>
      <c r="E51" s="57"/>
      <c r="F51" s="31"/>
      <c r="G51" s="57"/>
    </row>
    <row r="52" ht="15.75" customHeight="1">
      <c r="A52" s="58">
        <v>48.0</v>
      </c>
      <c r="B52" s="60"/>
      <c r="C52" s="88"/>
      <c r="D52" s="60"/>
      <c r="E52" s="60"/>
      <c r="F52" s="90"/>
      <c r="G52" s="60"/>
    </row>
    <row r="53" ht="15.75" customHeight="1">
      <c r="A53" s="52">
        <v>49.0</v>
      </c>
      <c r="B53" s="57"/>
      <c r="C53" s="87"/>
      <c r="D53" s="57"/>
      <c r="E53" s="57"/>
      <c r="F53" s="31"/>
      <c r="G53" s="57"/>
    </row>
    <row r="54" ht="15.75" customHeight="1">
      <c r="A54" s="58">
        <v>50.0</v>
      </c>
      <c r="B54" s="60"/>
      <c r="C54" s="88"/>
      <c r="D54" s="60"/>
      <c r="E54" s="60"/>
      <c r="F54" s="90"/>
      <c r="G54" s="60"/>
    </row>
    <row r="55" ht="15.75" customHeight="1">
      <c r="A55" s="52">
        <v>51.0</v>
      </c>
      <c r="B55" s="57"/>
      <c r="C55" s="87"/>
      <c r="D55" s="57"/>
      <c r="E55" s="57"/>
      <c r="F55" s="31"/>
      <c r="G55" s="57"/>
    </row>
    <row r="56" ht="15.75" customHeight="1">
      <c r="A56" s="58">
        <v>52.0</v>
      </c>
      <c r="B56" s="60"/>
      <c r="C56" s="88"/>
      <c r="D56" s="60"/>
      <c r="E56" s="60"/>
      <c r="F56" s="90"/>
      <c r="G56" s="60"/>
    </row>
    <row r="57" ht="15.75" customHeight="1">
      <c r="A57" s="52">
        <v>53.0</v>
      </c>
      <c r="B57" s="57"/>
      <c r="C57" s="87"/>
      <c r="D57" s="57"/>
      <c r="E57" s="57"/>
      <c r="F57" s="31"/>
      <c r="G57" s="57"/>
    </row>
    <row r="58" ht="15.75" customHeight="1">
      <c r="A58" s="58">
        <v>54.0</v>
      </c>
      <c r="B58" s="60"/>
      <c r="C58" s="88"/>
      <c r="D58" s="60"/>
      <c r="E58" s="60"/>
      <c r="F58" s="90"/>
      <c r="G58" s="60"/>
    </row>
    <row r="59" ht="15.75" customHeight="1">
      <c r="A59" s="52">
        <v>55.0</v>
      </c>
      <c r="B59" s="57"/>
      <c r="C59" s="87"/>
      <c r="D59" s="57"/>
      <c r="E59" s="57"/>
      <c r="F59" s="31"/>
      <c r="G59" s="57"/>
    </row>
    <row r="60" ht="15.75" customHeight="1">
      <c r="A60" s="58">
        <v>56.0</v>
      </c>
      <c r="B60" s="60"/>
      <c r="C60" s="88"/>
      <c r="D60" s="60"/>
      <c r="E60" s="60"/>
      <c r="F60" s="90"/>
      <c r="G60" s="60"/>
    </row>
    <row r="61" ht="15.75" customHeight="1">
      <c r="A61" s="52">
        <v>57.0</v>
      </c>
      <c r="B61" s="57"/>
      <c r="C61" s="87"/>
      <c r="D61" s="57"/>
      <c r="E61" s="57"/>
      <c r="F61" s="31"/>
      <c r="G61" s="57"/>
    </row>
    <row r="62" ht="15.75" customHeight="1">
      <c r="A62" s="58">
        <v>58.0</v>
      </c>
      <c r="B62" s="60"/>
      <c r="C62" s="88"/>
      <c r="D62" s="60"/>
      <c r="E62" s="60"/>
      <c r="F62" s="90"/>
      <c r="G62" s="60"/>
    </row>
    <row r="63" ht="15.75" customHeight="1">
      <c r="A63" s="52">
        <v>59.0</v>
      </c>
      <c r="B63" s="57"/>
      <c r="C63" s="87"/>
      <c r="D63" s="57"/>
      <c r="E63" s="57"/>
      <c r="F63" s="31"/>
      <c r="G63" s="57"/>
    </row>
    <row r="64" ht="15.75" customHeight="1">
      <c r="A64" s="58">
        <v>60.0</v>
      </c>
      <c r="B64" s="60"/>
      <c r="C64" s="88"/>
      <c r="D64" s="60"/>
      <c r="E64" s="60"/>
      <c r="F64" s="90"/>
      <c r="G64" s="60"/>
    </row>
    <row r="65" ht="15.75" customHeight="1">
      <c r="A65" s="52">
        <v>61.0</v>
      </c>
      <c r="B65" s="57"/>
      <c r="C65" s="87"/>
      <c r="D65" s="57"/>
      <c r="E65" s="57"/>
      <c r="F65" s="31"/>
      <c r="G65" s="57"/>
    </row>
    <row r="66" ht="15.75" customHeight="1">
      <c r="A66" s="58">
        <v>62.0</v>
      </c>
      <c r="B66" s="60"/>
      <c r="C66" s="88"/>
      <c r="D66" s="60"/>
      <c r="E66" s="60"/>
      <c r="F66" s="90"/>
      <c r="G66" s="60"/>
    </row>
    <row r="67" ht="15.75" customHeight="1">
      <c r="A67" s="52">
        <v>63.0</v>
      </c>
      <c r="B67" s="57"/>
      <c r="C67" s="87"/>
      <c r="D67" s="57"/>
      <c r="E67" s="57"/>
      <c r="F67" s="31"/>
      <c r="G67" s="57"/>
    </row>
    <row r="68" ht="15.75" customHeight="1">
      <c r="A68" s="58">
        <v>64.0</v>
      </c>
      <c r="B68" s="60"/>
      <c r="C68" s="88"/>
      <c r="D68" s="60"/>
      <c r="E68" s="60"/>
      <c r="F68" s="90"/>
      <c r="G68" s="60"/>
    </row>
    <row r="69" ht="15.75" customHeight="1">
      <c r="A69" s="52">
        <v>65.0</v>
      </c>
      <c r="B69" s="57"/>
      <c r="C69" s="87"/>
      <c r="D69" s="57"/>
      <c r="E69" s="57"/>
      <c r="F69" s="31"/>
      <c r="G69" s="57"/>
    </row>
    <row r="70" ht="15.75" customHeight="1">
      <c r="A70" s="58">
        <v>66.0</v>
      </c>
      <c r="B70" s="60"/>
      <c r="C70" s="88"/>
      <c r="D70" s="60"/>
      <c r="E70" s="60"/>
      <c r="F70" s="90"/>
      <c r="G70" s="60"/>
    </row>
    <row r="71" ht="15.75" customHeight="1">
      <c r="A71" s="52">
        <v>67.0</v>
      </c>
      <c r="B71" s="57"/>
      <c r="C71" s="87"/>
      <c r="D71" s="57"/>
      <c r="E71" s="57"/>
      <c r="F71" s="31"/>
      <c r="G71" s="57"/>
    </row>
    <row r="72" ht="15.75" customHeight="1">
      <c r="A72" s="58">
        <v>68.0</v>
      </c>
      <c r="B72" s="60"/>
      <c r="C72" s="88"/>
      <c r="D72" s="60"/>
      <c r="E72" s="60"/>
      <c r="F72" s="90"/>
      <c r="G72" s="60"/>
    </row>
    <row r="73" ht="15.75" customHeight="1">
      <c r="A73" s="52">
        <v>69.0</v>
      </c>
      <c r="B73" s="57"/>
      <c r="C73" s="87"/>
      <c r="D73" s="57"/>
      <c r="E73" s="57"/>
      <c r="F73" s="31"/>
      <c r="G73" s="57"/>
    </row>
    <row r="74" ht="15.75" customHeight="1">
      <c r="A74" s="58">
        <v>70.0</v>
      </c>
      <c r="B74" s="60"/>
      <c r="C74" s="88"/>
      <c r="D74" s="60"/>
      <c r="E74" s="60"/>
      <c r="F74" s="90"/>
      <c r="G74" s="60"/>
    </row>
    <row r="75" ht="15.75" customHeight="1">
      <c r="A75" s="52">
        <v>71.0</v>
      </c>
      <c r="B75" s="57"/>
      <c r="C75" s="87"/>
      <c r="D75" s="57"/>
      <c r="E75" s="57"/>
      <c r="F75" s="31"/>
      <c r="G75" s="57"/>
    </row>
    <row r="76" ht="15.75" customHeight="1">
      <c r="A76" s="58">
        <v>72.0</v>
      </c>
      <c r="B76" s="60"/>
      <c r="C76" s="88"/>
      <c r="D76" s="60"/>
      <c r="E76" s="60"/>
      <c r="F76" s="90"/>
      <c r="G76" s="60"/>
    </row>
    <row r="77" ht="15.75" customHeight="1">
      <c r="A77" s="52">
        <v>73.0</v>
      </c>
      <c r="B77" s="57"/>
      <c r="C77" s="87"/>
      <c r="D77" s="57"/>
      <c r="E77" s="57"/>
      <c r="F77" s="31"/>
      <c r="G77" s="57"/>
    </row>
    <row r="78" ht="15.75" customHeight="1">
      <c r="A78" s="58">
        <v>74.0</v>
      </c>
      <c r="B78" s="60"/>
      <c r="C78" s="88"/>
      <c r="D78" s="60"/>
      <c r="E78" s="60"/>
      <c r="F78" s="90"/>
      <c r="G78" s="60"/>
    </row>
    <row r="79" ht="15.75" customHeight="1">
      <c r="A79" s="52">
        <v>75.0</v>
      </c>
      <c r="B79" s="57"/>
      <c r="C79" s="87"/>
      <c r="D79" s="57"/>
      <c r="E79" s="57"/>
      <c r="F79" s="31"/>
      <c r="G79" s="57"/>
    </row>
    <row r="80" ht="15.75" customHeight="1">
      <c r="A80" s="58">
        <v>76.0</v>
      </c>
      <c r="B80" s="60"/>
      <c r="C80" s="88"/>
      <c r="D80" s="60"/>
      <c r="E80" s="60"/>
      <c r="F80" s="90"/>
      <c r="G80" s="60"/>
    </row>
    <row r="81" ht="15.75" customHeight="1">
      <c r="A81" s="52">
        <v>77.0</v>
      </c>
      <c r="B81" s="57"/>
      <c r="C81" s="87"/>
      <c r="D81" s="57"/>
      <c r="E81" s="57"/>
      <c r="F81" s="31"/>
      <c r="G81" s="57"/>
    </row>
    <row r="82" ht="15.75" customHeight="1">
      <c r="A82" s="58">
        <v>78.0</v>
      </c>
      <c r="B82" s="60"/>
      <c r="C82" s="88"/>
      <c r="D82" s="60"/>
      <c r="E82" s="60"/>
      <c r="F82" s="90"/>
      <c r="G82" s="60"/>
    </row>
    <row r="83" ht="15.75" customHeight="1">
      <c r="A83" s="52">
        <v>79.0</v>
      </c>
      <c r="B83" s="57"/>
      <c r="C83" s="87"/>
      <c r="D83" s="57"/>
      <c r="E83" s="57"/>
      <c r="F83" s="31"/>
      <c r="G83" s="57"/>
    </row>
    <row r="84" ht="15.75" customHeight="1">
      <c r="A84" s="58">
        <v>80.0</v>
      </c>
      <c r="B84" s="60"/>
      <c r="C84" s="88"/>
      <c r="D84" s="60"/>
      <c r="E84" s="60"/>
      <c r="F84" s="90"/>
      <c r="G84" s="60"/>
    </row>
    <row r="85" ht="15.75" customHeight="1"/>
    <row r="86" ht="15.75" customHeight="1"/>
    <row r="87" ht="25.5" customHeight="1">
      <c r="A87" s="91" t="s">
        <v>111</v>
      </c>
      <c r="B87" s="2"/>
      <c r="C87" s="2"/>
      <c r="D87" s="2"/>
      <c r="E87" s="2"/>
      <c r="F87" s="2"/>
      <c r="G87" s="3"/>
    </row>
    <row r="88" ht="15.75" customHeight="1">
      <c r="A88" s="92" t="s">
        <v>26</v>
      </c>
      <c r="B88" s="92" t="s">
        <v>112</v>
      </c>
      <c r="C88" s="93" t="s">
        <v>113</v>
      </c>
      <c r="D88" s="42"/>
      <c r="E88" s="42"/>
      <c r="F88" s="42"/>
      <c r="G88" s="43"/>
    </row>
    <row r="89" ht="15.75" customHeight="1">
      <c r="A89" s="94" t="s">
        <v>34</v>
      </c>
      <c r="B89" s="95">
        <f>SUMIF(B5:B84,A89,F5:F84)</f>
        <v>0</v>
      </c>
      <c r="C89" s="96"/>
      <c r="D89" s="42"/>
      <c r="E89" s="42"/>
      <c r="F89" s="42"/>
      <c r="G89" s="43"/>
    </row>
    <row r="90" ht="15.75" customHeight="1">
      <c r="A90" s="97" t="s">
        <v>35</v>
      </c>
      <c r="B90" s="98">
        <f>SUMIF(B5:B84,A90,F5:F84)</f>
        <v>0</v>
      </c>
      <c r="C90" s="99"/>
      <c r="D90" s="42"/>
      <c r="E90" s="42"/>
      <c r="F90" s="42"/>
      <c r="G90" s="43"/>
    </row>
    <row r="91" ht="15.75" customHeight="1">
      <c r="A91" s="94" t="s">
        <v>36</v>
      </c>
      <c r="B91" s="95">
        <f>SUMIF(B5:B84,A91,F5:F84)</f>
        <v>0</v>
      </c>
      <c r="C91" s="96"/>
      <c r="D91" s="42"/>
      <c r="E91" s="42"/>
      <c r="F91" s="42"/>
      <c r="G91" s="43"/>
    </row>
    <row r="92" ht="15.75" customHeight="1">
      <c r="A92" s="97" t="s">
        <v>37</v>
      </c>
      <c r="B92" s="98">
        <f>SUMIF(B5:B84,A92,F5:F84)</f>
        <v>0</v>
      </c>
      <c r="C92" s="99"/>
      <c r="D92" s="42"/>
      <c r="E92" s="42"/>
      <c r="F92" s="42"/>
      <c r="G92" s="43"/>
    </row>
    <row r="93" ht="15.75" customHeight="1">
      <c r="A93" s="94" t="s">
        <v>3</v>
      </c>
      <c r="B93" s="95">
        <f>SUMIF(B5:B84,A93,F5:F84)</f>
        <v>13770</v>
      </c>
      <c r="C93" s="96"/>
      <c r="D93" s="42"/>
      <c r="E93" s="42"/>
      <c r="F93" s="42"/>
      <c r="G93" s="43"/>
    </row>
    <row r="94" ht="15.75" customHeight="1">
      <c r="A94" s="97" t="s">
        <v>38</v>
      </c>
      <c r="B94" s="98">
        <f>SUMIF(B5:B84,A94,F5:F84)</f>
        <v>0</v>
      </c>
      <c r="C94" s="99"/>
      <c r="D94" s="42"/>
      <c r="E94" s="42"/>
      <c r="F94" s="42"/>
      <c r="G94" s="43"/>
    </row>
    <row r="95" ht="15.75" customHeight="1">
      <c r="A95" s="94" t="s">
        <v>39</v>
      </c>
      <c r="B95" s="95">
        <f>SUMIF(B5:B84,A95,F5:F84)</f>
        <v>0</v>
      </c>
      <c r="C95" s="96"/>
      <c r="D95" s="42"/>
      <c r="E95" s="42"/>
      <c r="F95" s="42"/>
      <c r="G95" s="43"/>
    </row>
    <row r="96" ht="15.75" customHeight="1">
      <c r="A96" s="97" t="s">
        <v>40</v>
      </c>
      <c r="B96" s="98">
        <f>SUMIF(B5:B84,A96,F5:F84)</f>
        <v>0</v>
      </c>
      <c r="C96" s="99"/>
      <c r="D96" s="42"/>
      <c r="E96" s="42"/>
      <c r="F96" s="42"/>
      <c r="G96" s="43"/>
    </row>
    <row r="97" ht="15.75" customHeight="1">
      <c r="A97" s="94" t="s">
        <v>41</v>
      </c>
      <c r="B97" s="95">
        <f>SUMIF(B5:B84,A97,F5:F84)</f>
        <v>0</v>
      </c>
      <c r="C97" s="96"/>
      <c r="D97" s="42"/>
      <c r="E97" s="42"/>
      <c r="F97" s="42"/>
      <c r="G97" s="43"/>
    </row>
    <row r="98" ht="15.75" customHeight="1">
      <c r="A98" s="97" t="s">
        <v>42</v>
      </c>
      <c r="B98" s="98">
        <f>SUMIF(B5:B84,A98,F5:F84)</f>
        <v>0</v>
      </c>
      <c r="C98" s="99"/>
      <c r="D98" s="42"/>
      <c r="E98" s="42"/>
      <c r="F98" s="42"/>
      <c r="G98" s="43"/>
    </row>
    <row r="99" ht="15.75" customHeight="1">
      <c r="A99" s="94" t="s">
        <v>43</v>
      </c>
      <c r="B99" s="95">
        <f>SUMIF(B5:B84,A99,F5:F84)</f>
        <v>0</v>
      </c>
      <c r="C99" s="96"/>
      <c r="D99" s="42"/>
      <c r="E99" s="42"/>
      <c r="F99" s="42"/>
      <c r="G99" s="43"/>
    </row>
    <row r="100" ht="15.75" customHeight="1">
      <c r="A100" s="97" t="s">
        <v>44</v>
      </c>
      <c r="B100" s="98">
        <f>SUMIF(B5:B84,A100,F5:F84)</f>
        <v>0</v>
      </c>
      <c r="C100" s="99"/>
      <c r="D100" s="42"/>
      <c r="E100" s="42"/>
      <c r="F100" s="42"/>
      <c r="G100" s="43"/>
    </row>
    <row r="101" ht="15.75" customHeight="1"/>
    <row r="102" ht="24.0" customHeight="1">
      <c r="A102" s="100" t="s">
        <v>114</v>
      </c>
      <c r="B102" s="2"/>
      <c r="C102" s="2"/>
      <c r="D102" s="2"/>
      <c r="E102" s="2"/>
      <c r="F102" s="2"/>
      <c r="G102" s="3"/>
    </row>
    <row r="103" ht="15.75" customHeight="1">
      <c r="A103" s="101" t="s">
        <v>95</v>
      </c>
      <c r="B103" s="101" t="s">
        <v>115</v>
      </c>
      <c r="C103" s="102"/>
      <c r="D103" s="2"/>
      <c r="E103" s="2"/>
      <c r="F103" s="2"/>
      <c r="G103" s="3"/>
    </row>
    <row r="104" ht="15.75" customHeight="1">
      <c r="A104" s="103" t="s">
        <v>100</v>
      </c>
      <c r="B104" s="104">
        <f>SUMIF(D5:D84,A104,F5:F84)</f>
        <v>0</v>
      </c>
      <c r="C104" s="105"/>
      <c r="D104" s="2"/>
      <c r="E104" s="2"/>
      <c r="F104" s="2"/>
      <c r="G104" s="3"/>
    </row>
    <row r="105" ht="15.75" customHeight="1">
      <c r="A105" s="106" t="s">
        <v>99</v>
      </c>
      <c r="B105" s="107">
        <f>SUMIF(D5:D84,A105,F5:F84)</f>
        <v>9020</v>
      </c>
      <c r="C105" s="108"/>
      <c r="D105" s="2"/>
      <c r="E105" s="2"/>
      <c r="F105" s="2"/>
      <c r="G105" s="3"/>
    </row>
    <row r="106" ht="15.75" customHeight="1">
      <c r="A106" s="103" t="s">
        <v>116</v>
      </c>
      <c r="B106" s="104">
        <f>SUMIF(D5:D84,A106,F5:F84)</f>
        <v>0</v>
      </c>
      <c r="C106" s="105"/>
      <c r="D106" s="2"/>
      <c r="E106" s="2"/>
      <c r="F106" s="2"/>
      <c r="G106" s="3"/>
    </row>
    <row r="107" ht="15.75" customHeight="1">
      <c r="A107" s="106" t="s">
        <v>117</v>
      </c>
      <c r="B107" s="107">
        <f>SUMIF(D5:D84,A107,F5:F84)</f>
        <v>0</v>
      </c>
      <c r="C107" s="108"/>
      <c r="D107" s="2"/>
      <c r="E107" s="2"/>
      <c r="F107" s="2"/>
      <c r="G107" s="3"/>
    </row>
    <row r="108" ht="15.75" customHeight="1">
      <c r="A108" s="103" t="s">
        <v>104</v>
      </c>
      <c r="B108" s="104">
        <f>SUMIF(D5:D84,A108,F5:F84)</f>
        <v>2000</v>
      </c>
      <c r="C108" s="105"/>
      <c r="D108" s="2"/>
      <c r="E108" s="2"/>
      <c r="F108" s="2"/>
      <c r="G108" s="3"/>
    </row>
    <row r="109" ht="15.75" customHeight="1">
      <c r="A109" s="106" t="s">
        <v>118</v>
      </c>
      <c r="B109" s="107">
        <f>SUMIF(D5:D84,A109,F5:F84)</f>
        <v>0</v>
      </c>
      <c r="C109" s="108"/>
      <c r="D109" s="2"/>
      <c r="E109" s="2"/>
      <c r="F109" s="2"/>
      <c r="G109" s="3"/>
    </row>
    <row r="110" ht="15.75" customHeight="1">
      <c r="A110" s="103" t="s">
        <v>119</v>
      </c>
      <c r="B110" s="104">
        <f>SUMIF(D5:D84,A110,F5:F84)</f>
        <v>0</v>
      </c>
      <c r="C110" s="105"/>
      <c r="D110" s="2"/>
      <c r="E110" s="2"/>
      <c r="F110" s="2"/>
      <c r="G110" s="3"/>
    </row>
    <row r="111" ht="15.75" customHeight="1">
      <c r="A111" s="106" t="s">
        <v>101</v>
      </c>
      <c r="B111" s="107">
        <f>SUMIF(D5:D84,A111,F5:F84)</f>
        <v>1500</v>
      </c>
      <c r="C111" s="108"/>
      <c r="D111" s="2"/>
      <c r="E111" s="2"/>
      <c r="F111" s="2"/>
      <c r="G111" s="3"/>
    </row>
    <row r="112" ht="15.75" customHeight="1">
      <c r="A112" s="109" t="s">
        <v>120</v>
      </c>
      <c r="B112" s="64">
        <f>SUM(F5:F84)</f>
        <v>14770</v>
      </c>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1:G1"/>
    <mergeCell ref="A2:G2"/>
    <mergeCell ref="A87:G87"/>
    <mergeCell ref="C88:G88"/>
    <mergeCell ref="C89:G89"/>
    <mergeCell ref="C90:G90"/>
    <mergeCell ref="C91:G91"/>
    <mergeCell ref="C92:G92"/>
    <mergeCell ref="C93:G93"/>
    <mergeCell ref="C94:G94"/>
    <mergeCell ref="C95:G95"/>
    <mergeCell ref="C96:G96"/>
    <mergeCell ref="C97:G97"/>
    <mergeCell ref="C98:G98"/>
    <mergeCell ref="C107:G107"/>
    <mergeCell ref="C108:G108"/>
    <mergeCell ref="C109:G109"/>
    <mergeCell ref="C110:G110"/>
    <mergeCell ref="C111:G111"/>
    <mergeCell ref="C99:G99"/>
    <mergeCell ref="C100:G100"/>
    <mergeCell ref="A102:G102"/>
    <mergeCell ref="C103:G103"/>
    <mergeCell ref="C104:G104"/>
    <mergeCell ref="C105:G105"/>
    <mergeCell ref="C106:G106"/>
  </mergeCells>
  <dataValidations>
    <dataValidation type="list" allowBlank="1" sqref="D5:D84">
      <formula1>"Milk Purchase,Fuel / Transport,Labor / Wages,Maintenance &amp; Repair,Packaging &amp; Bottles,Utilities,Marketing,Miscellaneous"</formula1>
    </dataValidation>
    <dataValidation type="list" allowBlank="1" sqref="B5:B84">
      <formula1>"January,February,March,April,May,June,July,August,September,October,November,December"</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111.71"/>
  </cols>
  <sheetData>
    <row r="1">
      <c r="A1" s="89" t="s">
        <v>121</v>
      </c>
      <c r="B1" s="89" t="s">
        <v>94</v>
      </c>
      <c r="C1" s="89" t="s">
        <v>122</v>
      </c>
      <c r="D1" s="89" t="s">
        <v>123</v>
      </c>
    </row>
    <row r="2">
      <c r="A2" s="89" t="s">
        <v>124</v>
      </c>
      <c r="B2" s="110">
        <v>46148.0</v>
      </c>
      <c r="C2" s="89">
        <v>430.0</v>
      </c>
      <c r="D2" s="89" t="s">
        <v>125</v>
      </c>
    </row>
    <row r="3">
      <c r="A3" s="89" t="s">
        <v>124</v>
      </c>
      <c r="B3" s="110">
        <v>46152.0</v>
      </c>
      <c r="C3" s="89">
        <v>430.0</v>
      </c>
      <c r="D3" s="89" t="s">
        <v>125</v>
      </c>
      <c r="E3" s="89" t="s">
        <v>126</v>
      </c>
    </row>
    <row r="4">
      <c r="A4" s="89" t="s">
        <v>127</v>
      </c>
      <c r="B4" s="110">
        <v>46153.0</v>
      </c>
      <c r="C4" s="89">
        <v>430.0</v>
      </c>
      <c r="D4" s="89" t="s">
        <v>125</v>
      </c>
    </row>
    <row r="5">
      <c r="A5" s="89" t="s">
        <v>128</v>
      </c>
      <c r="B5" s="110">
        <v>46153.0</v>
      </c>
      <c r="C5" s="89">
        <v>330.0</v>
      </c>
      <c r="D5" s="89" t="s">
        <v>129</v>
      </c>
      <c r="E5" s="89" t="s">
        <v>130</v>
      </c>
      <c r="F5" s="89">
        <v>570.0</v>
      </c>
      <c r="G5" s="110">
        <v>46153.0</v>
      </c>
    </row>
    <row r="6">
      <c r="A6" s="89" t="s">
        <v>131</v>
      </c>
      <c r="B6" s="110">
        <v>46153.0</v>
      </c>
      <c r="C6" s="89">
        <v>660.0</v>
      </c>
      <c r="D6" s="89" t="s">
        <v>132</v>
      </c>
    </row>
    <row r="7">
      <c r="A7" s="89" t="s">
        <v>133</v>
      </c>
      <c r="B7" s="110">
        <v>46154.0</v>
      </c>
      <c r="C7" s="89">
        <v>860.0</v>
      </c>
      <c r="D7" s="89" t="s">
        <v>132</v>
      </c>
      <c r="E7" s="89" t="s">
        <v>134</v>
      </c>
      <c r="F7" s="89">
        <v>360.0</v>
      </c>
      <c r="G7" s="110">
        <v>46154.0</v>
      </c>
    </row>
    <row r="8">
      <c r="A8" s="89" t="s">
        <v>135</v>
      </c>
      <c r="B8" s="110">
        <v>46155.0</v>
      </c>
      <c r="C8" s="89">
        <v>2580.0</v>
      </c>
      <c r="D8" s="89" t="s">
        <v>136</v>
      </c>
      <c r="E8" s="89" t="s">
        <v>137</v>
      </c>
    </row>
    <row r="9">
      <c r="A9" s="89" t="s">
        <v>138</v>
      </c>
      <c r="B9" s="110">
        <v>46155.0</v>
      </c>
      <c r="C9" s="89">
        <v>760.0</v>
      </c>
      <c r="D9" s="89" t="s">
        <v>132</v>
      </c>
      <c r="F9" s="89">
        <v>280.0</v>
      </c>
      <c r="G9" s="110">
        <v>46155.0</v>
      </c>
    </row>
    <row r="10">
      <c r="A10" s="89" t="s">
        <v>139</v>
      </c>
      <c r="B10" s="110">
        <v>46155.0</v>
      </c>
      <c r="C10" s="89">
        <v>660.0</v>
      </c>
      <c r="D10" s="89" t="s">
        <v>140</v>
      </c>
      <c r="E10" s="89" t="s">
        <v>141</v>
      </c>
    </row>
    <row r="11">
      <c r="A11" s="89" t="s">
        <v>142</v>
      </c>
      <c r="B11" s="110">
        <v>46158.0</v>
      </c>
      <c r="C11" s="89">
        <v>860.0</v>
      </c>
      <c r="D11" s="89" t="s">
        <v>132</v>
      </c>
      <c r="E11" s="89" t="s">
        <v>143</v>
      </c>
    </row>
    <row r="12">
      <c r="A12" s="89" t="s">
        <v>144</v>
      </c>
      <c r="B12" s="110">
        <v>46160.0</v>
      </c>
      <c r="C12" s="89">
        <v>430.0</v>
      </c>
      <c r="D12" s="89" t="s">
        <v>129</v>
      </c>
      <c r="E12" s="89" t="s">
        <v>145</v>
      </c>
    </row>
    <row r="13">
      <c r="A13" s="89" t="s">
        <v>146</v>
      </c>
      <c r="B13" s="110">
        <v>46160.0</v>
      </c>
      <c r="C13" s="89">
        <v>760.0</v>
      </c>
      <c r="D13" s="89" t="s">
        <v>132</v>
      </c>
      <c r="E13" s="89" t="s">
        <v>147</v>
      </c>
    </row>
    <row r="14">
      <c r="A14" s="89" t="s">
        <v>135</v>
      </c>
      <c r="B14" s="110">
        <v>46160.0</v>
      </c>
      <c r="C14" s="89">
        <v>1720.0</v>
      </c>
      <c r="D14" s="89" t="s">
        <v>148</v>
      </c>
      <c r="E14" s="89" t="s">
        <v>147</v>
      </c>
    </row>
    <row r="15">
      <c r="A15" s="89" t="s">
        <v>149</v>
      </c>
      <c r="B15" s="110">
        <v>46162.0</v>
      </c>
      <c r="C15" s="89">
        <v>330.0</v>
      </c>
      <c r="D15" s="89" t="s">
        <v>129</v>
      </c>
      <c r="E15" s="89" t="s">
        <v>150</v>
      </c>
    </row>
    <row r="16">
      <c r="A16" s="89" t="s">
        <v>144</v>
      </c>
      <c r="B16" s="110">
        <v>46163.0</v>
      </c>
      <c r="C16" s="89">
        <v>430.0</v>
      </c>
      <c r="D16" s="89" t="s">
        <v>125</v>
      </c>
      <c r="E16" s="89" t="s">
        <v>151</v>
      </c>
    </row>
  </sheetData>
  <drawing r:id="rId1"/>
</worksheet>
</file>